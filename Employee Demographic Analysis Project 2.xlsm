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ml.chartshapes+xml"/>
  <Override PartName="/xl/pivotTables/pivotTable3.xml" ContentType="application/vnd.openxmlformats-officedocument.spreadsheetml.pivotTable+xml"/>
  <Override PartName="/xl/drawings/drawing6.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4.xml" ContentType="application/vnd.openxmlformats-officedocument.spreadsheetml.pivotTable+xml"/>
  <Override PartName="/xl/drawings/drawing7.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workbookPr codeName="ThisWorkbook" hidePivotFieldList="1" defaultThemeVersion="124226"/>
  <mc:AlternateContent xmlns:mc="http://schemas.openxmlformats.org/markup-compatibility/2006">
    <mc:Choice Requires="x15">
      <x15ac:absPath xmlns:x15ac="http://schemas.microsoft.com/office/spreadsheetml/2010/11/ac" url="C:\Users\DELL\OneDrive\Desktop\"/>
    </mc:Choice>
  </mc:AlternateContent>
  <xr:revisionPtr revIDLastSave="0" documentId="8_{C96C8E68-474B-4F23-BD48-41ABB076DE60}" xr6:coauthVersionLast="36" xr6:coauthVersionMax="36" xr10:uidLastSave="{00000000-0000-0000-0000-000000000000}"/>
  <bookViews>
    <workbookView xWindow="0" yWindow="0" windowWidth="20490" windowHeight="7245" activeTab="1" xr2:uid="{00000000-000D-0000-FFFF-FFFF00000000}"/>
  </bookViews>
  <sheets>
    <sheet name="DEPARTMENTWISE WORK HOURS" sheetId="2" r:id="rId1"/>
    <sheet name="DASHBOARD" sheetId="6" r:id="rId2"/>
    <sheet name="CATEGORYWISE SALARY COUNT" sheetId="3" r:id="rId3"/>
    <sheet name="TOP AGE DEPARTMENT" sheetId="4" r:id="rId4"/>
    <sheet name="CATEGORYWISE SALARY RANK" sheetId="5" r:id="rId5"/>
    <sheet name="Dataset" sheetId="1" r:id="rId6"/>
  </sheets>
  <definedNames>
    <definedName name="_xlnm._FilterDatabase" localSheetId="5" hidden="1">Dataset!$A$1:$O$201</definedName>
    <definedName name="Slicer_Category">#N/A</definedName>
    <definedName name="Slicer_Department">#N/A</definedName>
  </definedNames>
  <calcPr calcId="191029"/>
  <pivotCaches>
    <pivotCache cacheId="10"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Lst>
</workbook>
</file>

<file path=xl/calcChain.xml><?xml version="1.0" encoding="utf-8"?>
<calcChain xmlns="http://schemas.openxmlformats.org/spreadsheetml/2006/main">
  <c r="F2" i="1" l="1"/>
</calcChain>
</file>

<file path=xl/sharedStrings.xml><?xml version="1.0" encoding="utf-8"?>
<sst xmlns="http://schemas.openxmlformats.org/spreadsheetml/2006/main" count="2666" uniqueCount="230">
  <si>
    <t>Title</t>
  </si>
  <si>
    <t>Department</t>
  </si>
  <si>
    <t>Category</t>
  </si>
  <si>
    <t>Classification_Status</t>
  </si>
  <si>
    <t>Yearly_Salary_Bracket</t>
  </si>
  <si>
    <t>Age_Bracket</t>
  </si>
  <si>
    <t>Hourly_Rate_Bracket</t>
  </si>
  <si>
    <t>Gender</t>
  </si>
  <si>
    <t>Ethnicity</t>
  </si>
  <si>
    <t>Position_Type</t>
  </si>
  <si>
    <t>Is_Fulltime</t>
  </si>
  <si>
    <t>Load_Date</t>
  </si>
  <si>
    <t>DATE</t>
  </si>
  <si>
    <t>IS_YEAR_TOTAL</t>
  </si>
  <si>
    <t>YEARLY_SALARY_RANK</t>
  </si>
  <si>
    <t>Legislative Assistant-Nc</t>
  </si>
  <si>
    <t>Firefighter</t>
  </si>
  <si>
    <t>Public Safety Dispatcher Iii</t>
  </si>
  <si>
    <t>Maintenance Asst I-Nc</t>
  </si>
  <si>
    <t>Refuse Operator Iii</t>
  </si>
  <si>
    <t>Port Security System Oper Iii</t>
  </si>
  <si>
    <t>Planner V</t>
  </si>
  <si>
    <t>Communications Officer</t>
  </si>
  <si>
    <t>Recreation Ldr/Speclst Iv-Nc</t>
  </si>
  <si>
    <t>Business Systems Speclst Vii</t>
  </si>
  <si>
    <t>Maintenance Assistant Iii</t>
  </si>
  <si>
    <t>Audit Analyst</t>
  </si>
  <si>
    <t>Senior Survey Technician</t>
  </si>
  <si>
    <t>Maintenance Assistant Ii</t>
  </si>
  <si>
    <t>Public Health Assoc Iii</t>
  </si>
  <si>
    <t>Recreation Ldr/Speclst V-Nc</t>
  </si>
  <si>
    <t>Special Svcs Officer Iii-Armed</t>
  </si>
  <si>
    <t>Administrative Intern-Nc</t>
  </si>
  <si>
    <t>Administrative Analyst I</t>
  </si>
  <si>
    <t>Asst Admin Analyst Ii</t>
  </si>
  <si>
    <t>Events Coordinator I</t>
  </si>
  <si>
    <t>Musician-Nc</t>
  </si>
  <si>
    <t>Refuse Operator I-Nc</t>
  </si>
  <si>
    <t>Environ Remediation Spec Ii</t>
  </si>
  <si>
    <t>Counselor Ii</t>
  </si>
  <si>
    <t>Water Utility Supervisor I</t>
  </si>
  <si>
    <t>Legal Records Assistant</t>
  </si>
  <si>
    <t>Police Officer</t>
  </si>
  <si>
    <t>Fire Recruit</t>
  </si>
  <si>
    <t>Refuse Operator Iv</t>
  </si>
  <si>
    <t>Community Services Supervisor</t>
  </si>
  <si>
    <t>Equipment Mechanic I</t>
  </si>
  <si>
    <t>Gas Construction Worker Ii</t>
  </si>
  <si>
    <t>Lifeguard-Hrly-Nc</t>
  </si>
  <si>
    <t>Senior Librarian</t>
  </si>
  <si>
    <t>Library Aide-Nc</t>
  </si>
  <si>
    <t>Senior Accountant</t>
  </si>
  <si>
    <t>License Inspector I</t>
  </si>
  <si>
    <t>Accountant Ii</t>
  </si>
  <si>
    <t>Police Recruit</t>
  </si>
  <si>
    <t>Civil Engineering Assistant</t>
  </si>
  <si>
    <t>Recreation Ldr/Speclst Vii-Nc</t>
  </si>
  <si>
    <t>Clerk Typist Iii</t>
  </si>
  <si>
    <t>Water Utility Mechanic I</t>
  </si>
  <si>
    <t>General Librarian</t>
  </si>
  <si>
    <t>Systems Support Speclst Ii</t>
  </si>
  <si>
    <t>Recreation Ldr/Speclst Iii-Nc</t>
  </si>
  <si>
    <t>Motor Sweeper Operator</t>
  </si>
  <si>
    <t>Comb Bldg Insp Aide Ii</t>
  </si>
  <si>
    <t>Financial Services Officer</t>
  </si>
  <si>
    <t>Clerk Ii-Nc</t>
  </si>
  <si>
    <t>Administrative Aide Ii</t>
  </si>
  <si>
    <t>Deputy City Prosecutor</t>
  </si>
  <si>
    <t>Department Safety Officer</t>
  </si>
  <si>
    <t>Veterinarian</t>
  </si>
  <si>
    <t>Refuse Operator I</t>
  </si>
  <si>
    <t>Police Sergeant</t>
  </si>
  <si>
    <t>Accountant Iii</t>
  </si>
  <si>
    <t>Supt-Park Maintenance</t>
  </si>
  <si>
    <t>Police Lieutenant</t>
  </si>
  <si>
    <t>Construction Inspector I</t>
  </si>
  <si>
    <t>Refuse Operator Ii</t>
  </si>
  <si>
    <t>Electrician</t>
  </si>
  <si>
    <t>Police Investigator-Nc</t>
  </si>
  <si>
    <t>Special Projects Officer</t>
  </si>
  <si>
    <t>Secretary</t>
  </si>
  <si>
    <t>Surveyor</t>
  </si>
  <si>
    <t>Public Safety Dispatcher I</t>
  </si>
  <si>
    <t>Senior Civil Engineer</t>
  </si>
  <si>
    <t>Water Utility Supervisor Ii</t>
  </si>
  <si>
    <t>Systems Analyst I</t>
  </si>
  <si>
    <t>Gas Field Service Rep Iii</t>
  </si>
  <si>
    <t>Administrative Analyst Ii</t>
  </si>
  <si>
    <t>Spcl Scs Of Iii-Arm Arpt Pc Of</t>
  </si>
  <si>
    <t>Director Of Security</t>
  </si>
  <si>
    <t>Parking Control Checker I</t>
  </si>
  <si>
    <t>Fire Engineer</t>
  </si>
  <si>
    <t>Storekeeper Ii</t>
  </si>
  <si>
    <t>Police Commander</t>
  </si>
  <si>
    <t>Administrative Analyst I-Nc</t>
  </si>
  <si>
    <t>Equipment Operator Iii</t>
  </si>
  <si>
    <t>Civil Engineer</t>
  </si>
  <si>
    <t>Clerk Typist Ii</t>
  </si>
  <si>
    <t>Accounting Clerk Iii</t>
  </si>
  <si>
    <t>Special Projects Off-Housing</t>
  </si>
  <si>
    <t>License Inspector Ii</t>
  </si>
  <si>
    <t>City Clerk Specialist</t>
  </si>
  <si>
    <t>Retired Annuitant-Admn Sppt-Nc</t>
  </si>
  <si>
    <t>Principal Building Inspector</t>
  </si>
  <si>
    <t>Special Services Officer Ii</t>
  </si>
  <si>
    <t>Criminalist Ii-Misc</t>
  </si>
  <si>
    <t>Senior Program Manager</t>
  </si>
  <si>
    <t>Administrative Analyst Iii</t>
  </si>
  <si>
    <t>Partnership Officer</t>
  </si>
  <si>
    <t>Public Health Associate-Nc</t>
  </si>
  <si>
    <t>Environmental Specialist Assoc</t>
  </si>
  <si>
    <t>Information Systems Officer</t>
  </si>
  <si>
    <t>Principal Deputy City Attorney</t>
  </si>
  <si>
    <t>Public Health Nutritionist I</t>
  </si>
  <si>
    <t>Maintenance Assistant I</t>
  </si>
  <si>
    <t>Water Utility Mechanic Ii</t>
  </si>
  <si>
    <t>Business Systems Speclst Vi</t>
  </si>
  <si>
    <t>Health Educator Ii</t>
  </si>
  <si>
    <t>Community Devel Technician Iii</t>
  </si>
  <si>
    <t>Harbor Patrol Officer Ii</t>
  </si>
  <si>
    <t>Development Project Mgr Iii</t>
  </si>
  <si>
    <t>Housing Aide Ii</t>
  </si>
  <si>
    <t>Legislative</t>
  </si>
  <si>
    <t>Fire</t>
  </si>
  <si>
    <t>Disaster Pre &amp; Emr Comm</t>
  </si>
  <si>
    <t>Parks, Recreation &amp; Marine</t>
  </si>
  <si>
    <t>Public Works</t>
  </si>
  <si>
    <t>Harbor</t>
  </si>
  <si>
    <t>Community Development</t>
  </si>
  <si>
    <t>Water</t>
  </si>
  <si>
    <t>City Auditor</t>
  </si>
  <si>
    <t>Airport</t>
  </si>
  <si>
    <t>Health &amp; Human Services</t>
  </si>
  <si>
    <t>Police</t>
  </si>
  <si>
    <t>Utilities</t>
  </si>
  <si>
    <t>City Manager</t>
  </si>
  <si>
    <t>Law</t>
  </si>
  <si>
    <t>Long Beach Gas &amp; Oil</t>
  </si>
  <si>
    <t>Library Services</t>
  </si>
  <si>
    <t>Economic Development</t>
  </si>
  <si>
    <t>Financial Management</t>
  </si>
  <si>
    <t>Civil Service</t>
  </si>
  <si>
    <t>Technology And Innovation</t>
  </si>
  <si>
    <t>Development Services</t>
  </si>
  <si>
    <t>City Prosecutor</t>
  </si>
  <si>
    <t>Human Resources</t>
  </si>
  <si>
    <t>City Clerk</t>
  </si>
  <si>
    <t>Energy Resources</t>
  </si>
  <si>
    <t>Professionals</t>
  </si>
  <si>
    <t>Protective Services</t>
  </si>
  <si>
    <t>Office/Clerical</t>
  </si>
  <si>
    <t>Service/Maintenance</t>
  </si>
  <si>
    <t>Paraprofessionals</t>
  </si>
  <si>
    <t>Technicians</t>
  </si>
  <si>
    <t>Skilled Craft</t>
  </si>
  <si>
    <t>Officials And Administrators</t>
  </si>
  <si>
    <t>Officials/Administrators</t>
  </si>
  <si>
    <t>Unclassified</t>
  </si>
  <si>
    <t>Classified</t>
  </si>
  <si>
    <t>Miscellaneous</t>
  </si>
  <si>
    <t>Sworn</t>
  </si>
  <si>
    <t>A:$0 - $59,999</t>
  </si>
  <si>
    <t>B:$60,000 - $89,999</t>
  </si>
  <si>
    <t>C:$90,000 - $119,999</t>
  </si>
  <si>
    <t>D:$120,000 - $149,999</t>
  </si>
  <si>
    <t>E:$150,000 - $179,999</t>
  </si>
  <si>
    <t>F:$180,000+</t>
  </si>
  <si>
    <t>50-59</t>
  </si>
  <si>
    <t>30-39</t>
  </si>
  <si>
    <t>60+</t>
  </si>
  <si>
    <t>40-49</t>
  </si>
  <si>
    <t>0 - 20</t>
  </si>
  <si>
    <t>20-29</t>
  </si>
  <si>
    <t>&lt; 20</t>
  </si>
  <si>
    <t>25 - 34.99</t>
  </si>
  <si>
    <t>35 - 44.99</t>
  </si>
  <si>
    <t>15 - 24.99</t>
  </si>
  <si>
    <t>45 - 54.99</t>
  </si>
  <si>
    <t>55+</t>
  </si>
  <si>
    <t>0 - 14.99</t>
  </si>
  <si>
    <t>Female</t>
  </si>
  <si>
    <t>Male</t>
  </si>
  <si>
    <t>White</t>
  </si>
  <si>
    <t>Asian</t>
  </si>
  <si>
    <t>Hispanic</t>
  </si>
  <si>
    <t>Black</t>
  </si>
  <si>
    <t>Two+ Races</t>
  </si>
  <si>
    <t>Temporary Part-Time</t>
  </si>
  <si>
    <t>Permanent Full-Time</t>
  </si>
  <si>
    <t>Seasonal Part-Time</t>
  </si>
  <si>
    <t>Part-Time</t>
  </si>
  <si>
    <t>Full-Time</t>
  </si>
  <si>
    <t>2017-01-01T05:30:00+05:30</t>
  </si>
  <si>
    <t>2020-01-01T05:30:00+05:30</t>
  </si>
  <si>
    <t>2019-01-01T05:30:00+05:30</t>
  </si>
  <si>
    <t>2025-04-01T11:35:00+05:30</t>
  </si>
  <si>
    <t>2025-05-01T11:35:00+05:30</t>
  </si>
  <si>
    <t>2018-01-01T05:30:00+05:30</t>
  </si>
  <si>
    <t>2015-01-01T05:30:00+05:30</t>
  </si>
  <si>
    <t>2024-12-02T16:01:00+05:30</t>
  </si>
  <si>
    <t>2025-02-01T11:34:00+05:30</t>
  </si>
  <si>
    <t>2013-01-01T05:30:00+05:30</t>
  </si>
  <si>
    <t>2014-01-01T05:30:00+05:30</t>
  </si>
  <si>
    <t>2025-03-04T15:37:00+05:30</t>
  </si>
  <si>
    <t>2025-06-01T11:35:00+05:30</t>
  </si>
  <si>
    <t>2011-01-01T05:30:00+05:30</t>
  </si>
  <si>
    <t>2012-01-01T05:30:00+05:30</t>
  </si>
  <si>
    <t>2025-01-01T11:34:00+05:30</t>
  </si>
  <si>
    <t>2025-08-01T20:17:00+05:30</t>
  </si>
  <si>
    <t>2016-01-01T05:30:00+05:30</t>
  </si>
  <si>
    <t>2025-07-01T11:35:00+05:30</t>
  </si>
  <si>
    <t>2024-11-01T11:32:00+05:30</t>
  </si>
  <si>
    <t>2025-04-01T05:30:00+05:30</t>
  </si>
  <si>
    <t>2025-05-01T05:30:00+05:30</t>
  </si>
  <si>
    <t>2024-12-01T05:30:00+05:30</t>
  </si>
  <si>
    <t>2025-02-01T05:30:00+05:30</t>
  </si>
  <si>
    <t>2025-03-01T05:30:00+05:30</t>
  </si>
  <si>
    <t>2025-06-01T05:30:00+05:30</t>
  </si>
  <si>
    <t>2025-01-01T05:30:00+05:30</t>
  </si>
  <si>
    <t>2025-08-01T05:30:00+05:30</t>
  </si>
  <si>
    <t>2025-07-01T05:30:00+05:30</t>
  </si>
  <si>
    <t>2024-11-01T05:30:00+05:30</t>
  </si>
  <si>
    <t>Row Labels</t>
  </si>
  <si>
    <t>Grand Total</t>
  </si>
  <si>
    <t>Count of Hourly_Rate_Bracket</t>
  </si>
  <si>
    <t>Count of Yearly_Salary_Bracket</t>
  </si>
  <si>
    <t>Sum of YEARLY_SALARY_RANK</t>
  </si>
  <si>
    <t>Count of Age_Bracket</t>
  </si>
  <si>
    <t>(blank)</t>
  </si>
  <si>
    <t>MULTI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</si>
</sst>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yyyy/mm/dd;@"/>
  </numFmts>
  <fonts count="3" x14ac:knownFonts="1">
    <font>
      <sz val="11"/>
      <color theme="1"/>
      <name val="Calibri"/>
      <family val="2"/>
      <scheme val="minor"/>
    </font>
    <font>
      <b/>
      <sz val="11"/>
      <color theme="0"/>
      <name val="Calibri"/>
      <family val="2"/>
      <scheme val="minor"/>
    </font>
    <font>
      <b/>
      <sz val="11"/>
      <color theme="1"/>
      <name val="Calibri"/>
      <family val="2"/>
      <scheme val="minor"/>
    </font>
  </fonts>
  <fills count="5">
    <fill>
      <patternFill patternType="none"/>
    </fill>
    <fill>
      <patternFill patternType="gray125"/>
    </fill>
    <fill>
      <patternFill patternType="solid">
        <fgColor theme="3"/>
        <bgColor indexed="64"/>
      </patternFill>
    </fill>
    <fill>
      <patternFill patternType="solid">
        <fgColor theme="3" tint="0.39997558519241921"/>
        <bgColor indexed="64"/>
      </patternFill>
    </fill>
    <fill>
      <patternFill patternType="solid">
        <fgColor theme="0"/>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2">
    <xf numFmtId="0" fontId="0" fillId="0" borderId="0" xfId="0"/>
    <xf numFmtId="0" fontId="0" fillId="0" borderId="0" xfId="0" applyAlignment="1">
      <alignment horizontal="center" vertical="center"/>
    </xf>
    <xf numFmtId="0" fontId="1" fillId="2" borderId="1" xfId="0" applyFont="1" applyFill="1" applyBorder="1" applyAlignment="1">
      <alignment horizontal="center" vertical="center"/>
    </xf>
    <xf numFmtId="164" fontId="1" fillId="2" borderId="1" xfId="0" applyNumberFormat="1" applyFont="1" applyFill="1" applyBorder="1" applyAlignment="1">
      <alignment horizontal="center" vertical="center"/>
    </xf>
    <xf numFmtId="165" fontId="1" fillId="2" borderId="1" xfId="0" applyNumberFormat="1" applyFont="1" applyFill="1" applyBorder="1" applyAlignment="1">
      <alignment horizontal="center" vertical="center"/>
    </xf>
    <xf numFmtId="0" fontId="0" fillId="0" borderId="0" xfId="0" applyFont="1"/>
    <xf numFmtId="0" fontId="0" fillId="0" borderId="0" xfId="0" pivotButton="1"/>
    <xf numFmtId="0" fontId="0" fillId="0" borderId="0" xfId="0" applyAlignment="1">
      <alignment horizontal="left"/>
    </xf>
    <xf numFmtId="0" fontId="0" fillId="0" borderId="0" xfId="0" applyNumberFormat="1"/>
    <xf numFmtId="0" fontId="0" fillId="3" borderId="0" xfId="0" applyFill="1"/>
    <xf numFmtId="0" fontId="0" fillId="4" borderId="0" xfId="0" applyFill="1"/>
    <xf numFmtId="0" fontId="2" fillId="3" borderId="0" xfId="0" applyFont="1" applyFill="1" applyAlignment="1">
      <alignment horizontal="center" vertic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Demographic Analysis Project 2.xlsm]DEPARTMENTWISE WORK HOURS!PivotTable8</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2">
                    <a:lumMod val="75000"/>
                  </a:schemeClr>
                </a:solidFill>
              </a:rPr>
              <a:t>Departmentwise</a:t>
            </a:r>
            <a:r>
              <a:rPr lang="en-US" b="1" baseline="0">
                <a:solidFill>
                  <a:schemeClr val="tx2">
                    <a:lumMod val="75000"/>
                  </a:schemeClr>
                </a:solidFill>
              </a:rPr>
              <a:t> Work Hours</a:t>
            </a:r>
            <a:endParaRPr lang="en-US" b="1">
              <a:solidFill>
                <a:schemeClr val="tx2">
                  <a:lumMod val="7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956653543307086"/>
          <c:y val="0.2225696267133275"/>
          <c:w val="0.56111242344706913"/>
          <c:h val="0.67003098571011954"/>
        </c:manualLayout>
      </c:layout>
      <c:barChart>
        <c:barDir val="bar"/>
        <c:grouping val="clustered"/>
        <c:varyColors val="0"/>
        <c:ser>
          <c:idx val="0"/>
          <c:order val="0"/>
          <c:tx>
            <c:strRef>
              <c:f>'DEPARTMENTWISE WORK HOURS'!$B$3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'DEPARTMENTWISE WORK HOURS'!$A$4:$A$14</c:f>
              <c:strCache>
                <c:ptCount val="10"/>
                <c:pt idx="0">
                  <c:v>Airport</c:v>
                </c:pt>
                <c:pt idx="1">
                  <c:v>Community Development</c:v>
                </c:pt>
                <c:pt idx="2">
                  <c:v>Fire</c:v>
                </c:pt>
                <c:pt idx="3">
                  <c:v>Harbor</c:v>
                </c:pt>
                <c:pt idx="4">
                  <c:v>Health &amp; Human Services</c:v>
                </c:pt>
                <c:pt idx="5">
                  <c:v>Parks, Recreation &amp; Marine</c:v>
                </c:pt>
                <c:pt idx="6">
                  <c:v>Police</c:v>
                </c:pt>
                <c:pt idx="7">
                  <c:v>Public Works</c:v>
                </c:pt>
                <c:pt idx="8">
                  <c:v>Technology And Innovation</c:v>
                </c:pt>
                <c:pt idx="9">
                  <c:v>Water</c:v>
                </c:pt>
              </c:strCache>
            </c:strRef>
          </c:cat>
          <c:val>
            <c:numRef>
              <c:f>'DEPARTMENTWISE WORK HOURS'!$B$4:$B$14</c:f>
              <c:numCache>
                <c:formatCode>General</c:formatCode>
                <c:ptCount val="10"/>
                <c:pt idx="0">
                  <c:v>5</c:v>
                </c:pt>
                <c:pt idx="1">
                  <c:v>5</c:v>
                </c:pt>
                <c:pt idx="2">
                  <c:v>17</c:v>
                </c:pt>
                <c:pt idx="3">
                  <c:v>14</c:v>
                </c:pt>
                <c:pt idx="4">
                  <c:v>12</c:v>
                </c:pt>
                <c:pt idx="5">
                  <c:v>32</c:v>
                </c:pt>
                <c:pt idx="6">
                  <c:v>45</c:v>
                </c:pt>
                <c:pt idx="7">
                  <c:v>23</c:v>
                </c:pt>
                <c:pt idx="8">
                  <c:v>6</c:v>
                </c:pt>
                <c:pt idx="9">
                  <c:v>8</c:v>
                </c:pt>
              </c:numCache>
            </c:numRef>
          </c:val>
          <c:extLst>
            <c:ext xmlns:c16="http://schemas.microsoft.com/office/drawing/2014/chart" uri="{C3380CC4-5D6E-409C-BE32-E72D297353CC}">
              <c16:uniqueId val="{00000000-C128-4413-A3A1-3BBE1C7104E1}"/>
            </c:ext>
          </c:extLst>
        </c:ser>
        <c:dLbls>
          <c:dLblPos val="outEnd"/>
          <c:showLegendKey val="0"/>
          <c:showVal val="1"/>
          <c:showCatName val="0"/>
          <c:showSerName val="0"/>
          <c:showPercent val="0"/>
          <c:showBubbleSize val="0"/>
        </c:dLbls>
        <c:gapWidth val="182"/>
        <c:axId val="1533873487"/>
        <c:axId val="957412703"/>
      </c:barChart>
      <c:catAx>
        <c:axId val="15338734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7412703"/>
        <c:crosses val="autoZero"/>
        <c:auto val="1"/>
        <c:lblAlgn val="ctr"/>
        <c:lblOffset val="100"/>
        <c:noMultiLvlLbl val="0"/>
      </c:catAx>
      <c:valAx>
        <c:axId val="95741270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38734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Demographic Analysis Project 2.xlsm]DEPARTMENTWISE WORK HOURS!PivotTable8</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2">
                    <a:lumMod val="75000"/>
                  </a:schemeClr>
                </a:solidFill>
              </a:rPr>
              <a:t>Departmentwise</a:t>
            </a:r>
            <a:r>
              <a:rPr lang="en-US" b="1" baseline="0">
                <a:solidFill>
                  <a:schemeClr val="tx2">
                    <a:lumMod val="75000"/>
                  </a:schemeClr>
                </a:solidFill>
              </a:rPr>
              <a:t> Work Hours</a:t>
            </a:r>
            <a:endParaRPr lang="en-US" b="1">
              <a:solidFill>
                <a:schemeClr val="tx2">
                  <a:lumMod val="7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956653543307086"/>
          <c:y val="0.1612148473413787"/>
          <c:w val="0.56111242344706913"/>
          <c:h val="0.73138563740242146"/>
        </c:manualLayout>
      </c:layout>
      <c:barChart>
        <c:barDir val="bar"/>
        <c:grouping val="clustered"/>
        <c:varyColors val="0"/>
        <c:ser>
          <c:idx val="0"/>
          <c:order val="0"/>
          <c:tx>
            <c:strRef>
              <c:f>'DEPARTMENTWISE WORK HOURS'!$B$3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'DEPARTMENTWISE WORK HOURS'!$A$4:$A$14</c:f>
              <c:strCache>
                <c:ptCount val="10"/>
                <c:pt idx="0">
                  <c:v>Airport</c:v>
                </c:pt>
                <c:pt idx="1">
                  <c:v>Community Development</c:v>
                </c:pt>
                <c:pt idx="2">
                  <c:v>Fire</c:v>
                </c:pt>
                <c:pt idx="3">
                  <c:v>Harbor</c:v>
                </c:pt>
                <c:pt idx="4">
                  <c:v>Health &amp; Human Services</c:v>
                </c:pt>
                <c:pt idx="5">
                  <c:v>Parks, Recreation &amp; Marine</c:v>
                </c:pt>
                <c:pt idx="6">
                  <c:v>Police</c:v>
                </c:pt>
                <c:pt idx="7">
                  <c:v>Public Works</c:v>
                </c:pt>
                <c:pt idx="8">
                  <c:v>Technology And Innovation</c:v>
                </c:pt>
                <c:pt idx="9">
                  <c:v>Water</c:v>
                </c:pt>
              </c:strCache>
            </c:strRef>
          </c:cat>
          <c:val>
            <c:numRef>
              <c:f>'DEPARTMENTWISE WORK HOURS'!$B$4:$B$14</c:f>
              <c:numCache>
                <c:formatCode>General</c:formatCode>
                <c:ptCount val="10"/>
                <c:pt idx="0">
                  <c:v>5</c:v>
                </c:pt>
                <c:pt idx="1">
                  <c:v>5</c:v>
                </c:pt>
                <c:pt idx="2">
                  <c:v>17</c:v>
                </c:pt>
                <c:pt idx="3">
                  <c:v>14</c:v>
                </c:pt>
                <c:pt idx="4">
                  <c:v>12</c:v>
                </c:pt>
                <c:pt idx="5">
                  <c:v>32</c:v>
                </c:pt>
                <c:pt idx="6">
                  <c:v>45</c:v>
                </c:pt>
                <c:pt idx="7">
                  <c:v>23</c:v>
                </c:pt>
                <c:pt idx="8">
                  <c:v>6</c:v>
                </c:pt>
                <c:pt idx="9">
                  <c:v>8</c:v>
                </c:pt>
              </c:numCache>
            </c:numRef>
          </c:val>
          <c:extLst>
            <c:ext xmlns:c16="http://schemas.microsoft.com/office/drawing/2014/chart" uri="{C3380CC4-5D6E-409C-BE32-E72D297353CC}">
              <c16:uniqueId val="{00000000-9752-47EF-B421-707D4DF058F9}"/>
            </c:ext>
          </c:extLst>
        </c:ser>
        <c:dLbls>
          <c:dLblPos val="outEnd"/>
          <c:showLegendKey val="0"/>
          <c:showVal val="1"/>
          <c:showCatName val="0"/>
          <c:showSerName val="0"/>
          <c:showPercent val="0"/>
          <c:showBubbleSize val="0"/>
        </c:dLbls>
        <c:gapWidth val="182"/>
        <c:axId val="1533873487"/>
        <c:axId val="957412703"/>
      </c:barChart>
      <c:catAx>
        <c:axId val="15338734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957412703"/>
        <c:crosses val="autoZero"/>
        <c:auto val="1"/>
        <c:lblAlgn val="ctr"/>
        <c:lblOffset val="100"/>
        <c:noMultiLvlLbl val="0"/>
      </c:catAx>
      <c:valAx>
        <c:axId val="95741270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38734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Demographic Analysis Project 2.xlsm]CATEGORYWISE SALARY COUNT!PivotTable9</c:name>
    <c:fmtId val="4"/>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2976851442081617"/>
          <c:y val="0.23550707203266255"/>
          <c:w val="0.56893500898398475"/>
          <c:h val="0.65709354039078449"/>
        </c:manualLayout>
      </c:layout>
      <c:barChart>
        <c:barDir val="bar"/>
        <c:grouping val="clustered"/>
        <c:varyColors val="0"/>
        <c:ser>
          <c:idx val="0"/>
          <c:order val="0"/>
          <c:tx>
            <c:strRef>
              <c:f>'CATEGORYWISE SALARY COUNT'!$B$3</c:f>
              <c:strCache>
                <c:ptCount val="1"/>
                <c:pt idx="0">
                  <c:v>Total</c:v>
                </c:pt>
              </c:strCache>
            </c:strRef>
          </c:tx>
          <c:spPr>
            <a:solidFill>
              <a:schemeClr val="accent1"/>
            </a:solidFill>
            <a:ln>
              <a:noFill/>
            </a:ln>
            <a:effectLst/>
          </c:spPr>
          <c:invertIfNegative val="0"/>
          <c:dLbls>
            <c:numFmt formatCode="General" sourceLinked="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'CATEGORYWISE SALARY COUNT'!$A$4:$A$14</c:f>
              <c:strCache>
                <c:ptCount val="10"/>
                <c:pt idx="0">
                  <c:v>MULTI</c:v>
                </c:pt>
                <c:pt idx="1">
                  <c:v>Office/Clerical</c:v>
                </c:pt>
                <c:pt idx="2">
                  <c:v>Officials And Administrators</c:v>
                </c:pt>
                <c:pt idx="3">
                  <c:v>Officials/Administrators</c:v>
                </c:pt>
                <c:pt idx="4">
                  <c:v>Paraprofessionals</c:v>
                </c:pt>
                <c:pt idx="5">
                  <c:v>Professionals</c:v>
                </c:pt>
                <c:pt idx="6">
                  <c:v>Protective Services</c:v>
                </c:pt>
                <c:pt idx="7">
                  <c:v>Service/Maintenance</c:v>
                </c:pt>
                <c:pt idx="8">
                  <c:v>Skilled Craft</c:v>
                </c:pt>
                <c:pt idx="9">
                  <c:v>Technicians</c:v>
                </c:pt>
              </c:strCache>
            </c:strRef>
          </c:cat>
          <c:val>
            <c:numRef>
              <c:f>'CATEGORYWISE SALARY COUNT'!$B$4:$B$14</c:f>
              <c:numCache>
                <c:formatCode>General</c:formatCode>
                <c:ptCount val="10"/>
                <c:pt idx="1">
                  <c:v>20</c:v>
                </c:pt>
                <c:pt idx="2">
                  <c:v>2</c:v>
                </c:pt>
                <c:pt idx="3">
                  <c:v>8</c:v>
                </c:pt>
                <c:pt idx="4">
                  <c:v>28</c:v>
                </c:pt>
                <c:pt idx="5">
                  <c:v>40</c:v>
                </c:pt>
                <c:pt idx="6">
                  <c:v>60</c:v>
                </c:pt>
                <c:pt idx="7">
                  <c:v>23</c:v>
                </c:pt>
                <c:pt idx="8">
                  <c:v>8</c:v>
                </c:pt>
                <c:pt idx="9">
                  <c:v>11</c:v>
                </c:pt>
              </c:numCache>
            </c:numRef>
          </c:val>
          <c:extLst>
            <c:ext xmlns:c16="http://schemas.microsoft.com/office/drawing/2014/chart" uri="{C3380CC4-5D6E-409C-BE32-E72D297353CC}">
              <c16:uniqueId val="{00000000-48C1-4174-810C-B9DADE532D24}"/>
            </c:ext>
          </c:extLst>
        </c:ser>
        <c:dLbls>
          <c:dLblPos val="outEnd"/>
          <c:showLegendKey val="0"/>
          <c:showVal val="1"/>
          <c:showCatName val="0"/>
          <c:showSerName val="0"/>
          <c:showPercent val="0"/>
          <c:showBubbleSize val="0"/>
        </c:dLbls>
        <c:gapWidth val="133"/>
        <c:axId val="1519180127"/>
        <c:axId val="981486799"/>
      </c:barChart>
      <c:catAx>
        <c:axId val="15191801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981486799"/>
        <c:crosses val="autoZero"/>
        <c:auto val="1"/>
        <c:lblAlgn val="ctr"/>
        <c:lblOffset val="100"/>
        <c:noMultiLvlLbl val="0"/>
      </c:catAx>
      <c:valAx>
        <c:axId val="98148679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5191801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Demographic Analysis Project 2.xlsm]TOP AGE DEPARTMENT!PivotTable10</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2">
                    <a:lumMod val="60000"/>
                    <a:lumOff val="40000"/>
                  </a:schemeClr>
                </a:solidFill>
              </a:rPr>
              <a:t>MOSTLY</a:t>
            </a:r>
            <a:r>
              <a:rPr lang="en-US" baseline="0">
                <a:solidFill>
                  <a:schemeClr val="tx2">
                    <a:lumMod val="60000"/>
                    <a:lumOff val="40000"/>
                  </a:schemeClr>
                </a:solidFill>
              </a:rPr>
              <a:t> AGED EMPLOYEES</a:t>
            </a:r>
            <a:endParaRPr lang="en-US">
              <a:solidFill>
                <a:schemeClr val="tx2">
                  <a:lumMod val="60000"/>
                  <a:lumOff val="40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5902514902907841E-2"/>
          <c:y val="0.22623904470537975"/>
          <c:w val="0.81861956911193079"/>
          <c:h val="0.36784893853052153"/>
        </c:manualLayout>
      </c:layout>
      <c:barChart>
        <c:barDir val="col"/>
        <c:grouping val="clustered"/>
        <c:varyColors val="0"/>
        <c:ser>
          <c:idx val="0"/>
          <c:order val="0"/>
          <c:tx>
            <c:strRef>
              <c:f>'TOP AGE DEPARTMENT'!$B$3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AGE DEPARTMENT'!$A$4:$A$14</c:f>
              <c:strCache>
                <c:ptCount val="10"/>
                <c:pt idx="0">
                  <c:v>Police</c:v>
                </c:pt>
                <c:pt idx="1">
                  <c:v>Parks, Recreation &amp; Marine</c:v>
                </c:pt>
                <c:pt idx="2">
                  <c:v>Public Works</c:v>
                </c:pt>
                <c:pt idx="3">
                  <c:v>Fire</c:v>
                </c:pt>
                <c:pt idx="4">
                  <c:v>Harbor</c:v>
                </c:pt>
                <c:pt idx="5">
                  <c:v>Health &amp; Human Services</c:v>
                </c:pt>
                <c:pt idx="6">
                  <c:v>Water</c:v>
                </c:pt>
                <c:pt idx="7">
                  <c:v>Technology And Innovation</c:v>
                </c:pt>
                <c:pt idx="8">
                  <c:v>Airport</c:v>
                </c:pt>
                <c:pt idx="9">
                  <c:v>Community Development</c:v>
                </c:pt>
              </c:strCache>
            </c:strRef>
          </c:cat>
          <c:val>
            <c:numRef>
              <c:f>'TOP AGE DEPARTMENT'!$B$4:$B$14</c:f>
              <c:numCache>
                <c:formatCode>General</c:formatCode>
                <c:ptCount val="10"/>
                <c:pt idx="0">
                  <c:v>45</c:v>
                </c:pt>
                <c:pt idx="1">
                  <c:v>32</c:v>
                </c:pt>
                <c:pt idx="2">
                  <c:v>23</c:v>
                </c:pt>
                <c:pt idx="3">
                  <c:v>17</c:v>
                </c:pt>
                <c:pt idx="4">
                  <c:v>14</c:v>
                </c:pt>
                <c:pt idx="5">
                  <c:v>12</c:v>
                </c:pt>
                <c:pt idx="6">
                  <c:v>8</c:v>
                </c:pt>
                <c:pt idx="7">
                  <c:v>6</c:v>
                </c:pt>
                <c:pt idx="8">
                  <c:v>5</c:v>
                </c:pt>
                <c:pt idx="9">
                  <c:v>5</c:v>
                </c:pt>
              </c:numCache>
            </c:numRef>
          </c:val>
          <c:extLst>
            <c:ext xmlns:c16="http://schemas.microsoft.com/office/drawing/2014/chart" uri="{C3380CC4-5D6E-409C-BE32-E72D297353CC}">
              <c16:uniqueId val="{00000000-D9E6-4804-BBCE-088806BF52FA}"/>
            </c:ext>
          </c:extLst>
        </c:ser>
        <c:dLbls>
          <c:dLblPos val="outEnd"/>
          <c:showLegendKey val="0"/>
          <c:showVal val="1"/>
          <c:showCatName val="0"/>
          <c:showSerName val="0"/>
          <c:showPercent val="0"/>
          <c:showBubbleSize val="0"/>
        </c:dLbls>
        <c:gapWidth val="219"/>
        <c:overlap val="-27"/>
        <c:axId val="716197103"/>
        <c:axId val="981476815"/>
      </c:barChart>
      <c:catAx>
        <c:axId val="716197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981476815"/>
        <c:crosses val="autoZero"/>
        <c:auto val="1"/>
        <c:lblAlgn val="ctr"/>
        <c:lblOffset val="100"/>
        <c:noMultiLvlLbl val="0"/>
      </c:catAx>
      <c:valAx>
        <c:axId val="9814768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61971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Demographic Analysis Project 2.xlsm]CATEGORYWISE SALARY RANK!PivotTable11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2">
                    <a:lumMod val="75000"/>
                  </a:schemeClr>
                </a:solidFill>
              </a:rPr>
              <a:t>Category</a:t>
            </a:r>
            <a:r>
              <a:rPr lang="en-US" b="1" baseline="0">
                <a:solidFill>
                  <a:schemeClr val="tx2">
                    <a:lumMod val="75000"/>
                  </a:schemeClr>
                </a:solidFill>
              </a:rPr>
              <a:t> wise Data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85000"/>
                      <a:lumOff val="15000"/>
                    </a:schemeClr>
                  </a:solidFill>
                  <a:latin typeface="Arial Black" panose="020B0A04020102020204" pitchFamily="34" charset="0"/>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85000"/>
                      <a:lumOff val="15000"/>
                    </a:schemeClr>
                  </a:solidFill>
                  <a:latin typeface="Arial Black" panose="020B0A04020102020204" pitchFamily="34" charset="0"/>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85000"/>
                      <a:lumOff val="15000"/>
                    </a:schemeClr>
                  </a:solidFill>
                  <a:latin typeface="Arial Black" panose="020B0A04020102020204" pitchFamily="34" charset="0"/>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s>
    <c:plotArea>
      <c:layout/>
      <c:pieChart>
        <c:varyColors val="1"/>
        <c:ser>
          <c:idx val="0"/>
          <c:order val="0"/>
          <c:tx>
            <c:strRef>
              <c:f>'CATEGORYWISE SALARY RANK'!$B$3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F77-417E-9598-BD44B8E629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F77-417E-9598-BD44B8E629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F77-417E-9598-BD44B8E629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F77-417E-9598-BD44B8E629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F77-417E-9598-BD44B8E629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AB9-46C0-A5CE-A27EE73B91CE}"/>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AB9-46C0-A5CE-A27EE73B91CE}"/>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1AB9-46C0-A5CE-A27EE73B91CE}"/>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1AB9-46C0-A5CE-A27EE73B91CE}"/>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1AB9-46C0-A5CE-A27EE73B91CE}"/>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85000"/>
                        <a:lumOff val="15000"/>
                      </a:schemeClr>
                    </a:solidFill>
                    <a:latin typeface="Arial Black" panose="020B0A04020102020204" pitchFamily="34" charset="0"/>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'CATEGORYWISE SALARY RANK'!$A$4:$A$14</c:f>
              <c:strCache>
                <c:ptCount val="10"/>
                <c:pt idx="0">
                  <c:v>Protective Services</c:v>
                </c:pt>
                <c:pt idx="1">
                  <c:v>Professionals</c:v>
                </c:pt>
                <c:pt idx="2">
                  <c:v>Officials/Administrators</c:v>
                </c:pt>
                <c:pt idx="3">
                  <c:v>Service/Maintenance</c:v>
                </c:pt>
                <c:pt idx="4">
                  <c:v>Paraprofessionals</c:v>
                </c:pt>
                <c:pt idx="5">
                  <c:v>Technicians</c:v>
                </c:pt>
                <c:pt idx="6">
                  <c:v>Office/Clerical</c:v>
                </c:pt>
                <c:pt idx="7">
                  <c:v>Skilled Craft</c:v>
                </c:pt>
                <c:pt idx="8">
                  <c:v>Officials And Administrators</c:v>
                </c:pt>
                <c:pt idx="9">
                  <c:v>(blank)</c:v>
                </c:pt>
              </c:strCache>
            </c:strRef>
          </c:cat>
          <c:val>
            <c:numRef>
              <c:f>'CATEGORYWISE SALARY RANK'!$B$4:$B$14</c:f>
              <c:numCache>
                <c:formatCode>General</c:formatCode>
                <c:ptCount val="10"/>
                <c:pt idx="0">
                  <c:v>158</c:v>
                </c:pt>
                <c:pt idx="1">
                  <c:v>123</c:v>
                </c:pt>
                <c:pt idx="2">
                  <c:v>39</c:v>
                </c:pt>
                <c:pt idx="3">
                  <c:v>31</c:v>
                </c:pt>
                <c:pt idx="4">
                  <c:v>30</c:v>
                </c:pt>
                <c:pt idx="5">
                  <c:v>29</c:v>
                </c:pt>
                <c:pt idx="6">
                  <c:v>29</c:v>
                </c:pt>
                <c:pt idx="7">
                  <c:v>16</c:v>
                </c:pt>
                <c:pt idx="8">
                  <c:v>5</c:v>
                </c:pt>
              </c:numCache>
            </c:numRef>
          </c:val>
          <c:extLst>
            <c:ext xmlns:c16="http://schemas.microsoft.com/office/drawing/2014/chart" uri="{C3380CC4-5D6E-409C-BE32-E72D297353CC}">
              <c16:uniqueId val="{0000000A-5F77-417E-9598-BD44B8E62945}"/>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850831146106744"/>
          <c:y val="0.25686205890930303"/>
          <c:w val="0.21260279965004375"/>
          <c:h val="0.694005176436278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Demographic Analysis Project 2.xlsm]CATEGORYWISE SALARY COUNT!PivotTable9</c:name>
    <c:fmtId val="2"/>
  </c:pivotSource>
  <c:chart>
    <c:autoTitleDeleted val="1"/>
    <c:pivotFmts>
      <c:pivotFmt>
        <c:idx val="0"/>
        <c:spPr>
          <a:solidFill>
            <a:schemeClr val="accent1"/>
          </a:solidFill>
          <a:ln>
            <a:noFill/>
          </a:ln>
          <a:effectLst/>
        </c:spPr>
        <c:marker>
          <c:symbol val="none"/>
        </c:marker>
      </c:pivotFmt>
    </c:pivotFmts>
    <c:plotArea>
      <c:layout>
        <c:manualLayout>
          <c:layoutTarget val="inner"/>
          <c:xMode val="edge"/>
          <c:yMode val="edge"/>
          <c:x val="0.45004068241469819"/>
          <c:y val="0.23550707203266255"/>
          <c:w val="0.44866294838145232"/>
          <c:h val="0.65709354039078449"/>
        </c:manualLayout>
      </c:layout>
      <c:barChart>
        <c:barDir val="bar"/>
        <c:grouping val="clustered"/>
        <c:varyColors val="0"/>
        <c:ser>
          <c:idx val="0"/>
          <c:order val="0"/>
          <c:tx>
            <c:strRef>
              <c:f>'CATEGORYWISE SALARY COUNT'!$B$3</c:f>
              <c:strCache>
                <c:ptCount val="1"/>
                <c:pt idx="0">
                  <c:v>Total</c:v>
                </c:pt>
              </c:strCache>
            </c:strRef>
          </c:tx>
          <c:spPr>
            <a:solidFill>
              <a:schemeClr val="accent1"/>
            </a:solidFill>
            <a:ln>
              <a:noFill/>
            </a:ln>
            <a:effectLst/>
          </c:spPr>
          <c:invertIfNegative val="0"/>
          <c:cat>
            <c:strRef>
              <c:f>'CATEGORYWISE SALARY COUNT'!$A$4:$A$14</c:f>
              <c:strCache>
                <c:ptCount val="10"/>
                <c:pt idx="0">
                  <c:v>MULTI</c:v>
                </c:pt>
                <c:pt idx="1">
                  <c:v>Office/Clerical</c:v>
                </c:pt>
                <c:pt idx="2">
                  <c:v>Officials And Administrators</c:v>
                </c:pt>
                <c:pt idx="3">
                  <c:v>Officials/Administrators</c:v>
                </c:pt>
                <c:pt idx="4">
                  <c:v>Paraprofessionals</c:v>
                </c:pt>
                <c:pt idx="5">
                  <c:v>Professionals</c:v>
                </c:pt>
                <c:pt idx="6">
                  <c:v>Protective Services</c:v>
                </c:pt>
                <c:pt idx="7">
                  <c:v>Service/Maintenance</c:v>
                </c:pt>
                <c:pt idx="8">
                  <c:v>Skilled Craft</c:v>
                </c:pt>
                <c:pt idx="9">
                  <c:v>Technicians</c:v>
                </c:pt>
              </c:strCache>
            </c:strRef>
          </c:cat>
          <c:val>
            <c:numRef>
              <c:f>'CATEGORYWISE SALARY COUNT'!$B$4:$B$14</c:f>
              <c:numCache>
                <c:formatCode>General</c:formatCode>
                <c:ptCount val="10"/>
                <c:pt idx="1">
                  <c:v>20</c:v>
                </c:pt>
                <c:pt idx="2">
                  <c:v>2</c:v>
                </c:pt>
                <c:pt idx="3">
                  <c:v>8</c:v>
                </c:pt>
                <c:pt idx="4">
                  <c:v>28</c:v>
                </c:pt>
                <c:pt idx="5">
                  <c:v>40</c:v>
                </c:pt>
                <c:pt idx="6">
                  <c:v>60</c:v>
                </c:pt>
                <c:pt idx="7">
                  <c:v>23</c:v>
                </c:pt>
                <c:pt idx="8">
                  <c:v>8</c:v>
                </c:pt>
                <c:pt idx="9">
                  <c:v>11</c:v>
                </c:pt>
              </c:numCache>
            </c:numRef>
          </c:val>
          <c:extLst>
            <c:ext xmlns:c16="http://schemas.microsoft.com/office/drawing/2014/chart" uri="{C3380CC4-5D6E-409C-BE32-E72D297353CC}">
              <c16:uniqueId val="{00000000-A998-4F98-B7A6-90C15B759C75}"/>
            </c:ext>
          </c:extLst>
        </c:ser>
        <c:dLbls>
          <c:showLegendKey val="0"/>
          <c:showVal val="0"/>
          <c:showCatName val="0"/>
          <c:showSerName val="0"/>
          <c:showPercent val="0"/>
          <c:showBubbleSize val="0"/>
        </c:dLbls>
        <c:gapWidth val="182"/>
        <c:axId val="1519180127"/>
        <c:axId val="981486799"/>
      </c:barChart>
      <c:catAx>
        <c:axId val="15191801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981486799"/>
        <c:crosses val="autoZero"/>
        <c:auto val="1"/>
        <c:lblAlgn val="ctr"/>
        <c:lblOffset val="100"/>
        <c:noMultiLvlLbl val="0"/>
      </c:catAx>
      <c:valAx>
        <c:axId val="98148679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5191801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Demographic Analysis Project 2.xlsm]TOP AGE DEPARTMENT!PivotTable10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2">
                    <a:lumMod val="60000"/>
                    <a:lumOff val="40000"/>
                  </a:schemeClr>
                </a:solidFill>
              </a:rPr>
              <a:t>MOSTLY</a:t>
            </a:r>
            <a:r>
              <a:rPr lang="en-US" baseline="0">
                <a:solidFill>
                  <a:schemeClr val="tx2">
                    <a:lumMod val="60000"/>
                    <a:lumOff val="40000"/>
                  </a:schemeClr>
                </a:solidFill>
              </a:rPr>
              <a:t> AGED EMPLOYEES</a:t>
            </a:r>
            <a:endParaRPr lang="en-US">
              <a:solidFill>
                <a:schemeClr val="tx2">
                  <a:lumMod val="60000"/>
                  <a:lumOff val="40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'TOP AGE DEPARTMENT'!$B$3</c:f>
              <c:strCache>
                <c:ptCount val="1"/>
                <c:pt idx="0">
                  <c:v>Total</c:v>
                </c:pt>
              </c:strCache>
            </c:strRef>
          </c:tx>
          <c:spPr>
            <a:solidFill>
              <a:schemeClr val="accent1"/>
            </a:solidFill>
            <a:ln>
              <a:noFill/>
            </a:ln>
            <a:effectLst/>
          </c:spPr>
          <c:invertIfNegative val="0"/>
          <c:cat>
            <c:strRef>
              <c:f>'TOP AGE DEPARTMENT'!$A$4:$A$14</c:f>
              <c:strCache>
                <c:ptCount val="10"/>
                <c:pt idx="0">
                  <c:v>Police</c:v>
                </c:pt>
                <c:pt idx="1">
                  <c:v>Parks, Recreation &amp; Marine</c:v>
                </c:pt>
                <c:pt idx="2">
                  <c:v>Public Works</c:v>
                </c:pt>
                <c:pt idx="3">
                  <c:v>Fire</c:v>
                </c:pt>
                <c:pt idx="4">
                  <c:v>Harbor</c:v>
                </c:pt>
                <c:pt idx="5">
                  <c:v>Health &amp; Human Services</c:v>
                </c:pt>
                <c:pt idx="6">
                  <c:v>Water</c:v>
                </c:pt>
                <c:pt idx="7">
                  <c:v>Technology And Innovation</c:v>
                </c:pt>
                <c:pt idx="8">
                  <c:v>Airport</c:v>
                </c:pt>
                <c:pt idx="9">
                  <c:v>Community Development</c:v>
                </c:pt>
              </c:strCache>
            </c:strRef>
          </c:cat>
          <c:val>
            <c:numRef>
              <c:f>'TOP AGE DEPARTMENT'!$B$4:$B$14</c:f>
              <c:numCache>
                <c:formatCode>General</c:formatCode>
                <c:ptCount val="10"/>
                <c:pt idx="0">
                  <c:v>45</c:v>
                </c:pt>
                <c:pt idx="1">
                  <c:v>32</c:v>
                </c:pt>
                <c:pt idx="2">
                  <c:v>23</c:v>
                </c:pt>
                <c:pt idx="3">
                  <c:v>17</c:v>
                </c:pt>
                <c:pt idx="4">
                  <c:v>14</c:v>
                </c:pt>
                <c:pt idx="5">
                  <c:v>12</c:v>
                </c:pt>
                <c:pt idx="6">
                  <c:v>8</c:v>
                </c:pt>
                <c:pt idx="7">
                  <c:v>6</c:v>
                </c:pt>
                <c:pt idx="8">
                  <c:v>5</c:v>
                </c:pt>
                <c:pt idx="9">
                  <c:v>5</c:v>
                </c:pt>
              </c:numCache>
            </c:numRef>
          </c:val>
          <c:extLst>
            <c:ext xmlns:c16="http://schemas.microsoft.com/office/drawing/2014/chart" uri="{C3380CC4-5D6E-409C-BE32-E72D297353CC}">
              <c16:uniqueId val="{00000000-4530-4187-9ECE-9140C11E4678}"/>
            </c:ext>
          </c:extLst>
        </c:ser>
        <c:dLbls>
          <c:showLegendKey val="0"/>
          <c:showVal val="0"/>
          <c:showCatName val="0"/>
          <c:showSerName val="0"/>
          <c:showPercent val="0"/>
          <c:showBubbleSize val="0"/>
        </c:dLbls>
        <c:gapWidth val="219"/>
        <c:overlap val="-27"/>
        <c:axId val="716197103"/>
        <c:axId val="981476815"/>
      </c:barChart>
      <c:catAx>
        <c:axId val="716197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1476815"/>
        <c:crosses val="autoZero"/>
        <c:auto val="1"/>
        <c:lblAlgn val="ctr"/>
        <c:lblOffset val="100"/>
        <c:noMultiLvlLbl val="0"/>
      </c:catAx>
      <c:valAx>
        <c:axId val="9814768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61971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Demographic Analysis Project 2.xlsm]CATEGORYWISE SALARY RANK!PivotTable11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2">
                    <a:lumMod val="75000"/>
                  </a:schemeClr>
                </a:solidFill>
              </a:rPr>
              <a:t>Category</a:t>
            </a:r>
            <a:r>
              <a:rPr lang="en-US" b="1" baseline="0">
                <a:solidFill>
                  <a:schemeClr val="tx2">
                    <a:lumMod val="75000"/>
                  </a:schemeClr>
                </a:solidFill>
              </a:rPr>
              <a:t> wise Data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85000"/>
                      <a:lumOff val="15000"/>
                    </a:schemeClr>
                  </a:solidFill>
                  <a:latin typeface="Arial Black" panose="020B0A04020102020204" pitchFamily="34" charset="0"/>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pieChart>
        <c:varyColors val="1"/>
        <c:ser>
          <c:idx val="0"/>
          <c:order val="0"/>
          <c:tx>
            <c:strRef>
              <c:f>'CATEGORYWISE SALARY RANK'!$B$3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28B-4FD5-AE6D-DAEB23B015B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28B-4FD5-AE6D-DAEB23B015B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28B-4FD5-AE6D-DAEB23B015B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28B-4FD5-AE6D-DAEB23B015B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28B-4FD5-AE6D-DAEB23B015B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7B2-4383-8915-E431021CC653}"/>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7B2-4383-8915-E431021CC653}"/>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7B2-4383-8915-E431021CC653}"/>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7B2-4383-8915-E431021CC653}"/>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7B2-4383-8915-E431021CC653}"/>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85000"/>
                        <a:lumOff val="15000"/>
                      </a:schemeClr>
                    </a:solidFill>
                    <a:latin typeface="Arial Black" panose="020B0A04020102020204" pitchFamily="34" charset="0"/>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'CATEGORYWISE SALARY RANK'!$A$4:$A$14</c:f>
              <c:strCache>
                <c:ptCount val="10"/>
                <c:pt idx="0">
                  <c:v>Protective Services</c:v>
                </c:pt>
                <c:pt idx="1">
                  <c:v>Professionals</c:v>
                </c:pt>
                <c:pt idx="2">
                  <c:v>Officials/Administrators</c:v>
                </c:pt>
                <c:pt idx="3">
                  <c:v>Service/Maintenance</c:v>
                </c:pt>
                <c:pt idx="4">
                  <c:v>Paraprofessionals</c:v>
                </c:pt>
                <c:pt idx="5">
                  <c:v>Technicians</c:v>
                </c:pt>
                <c:pt idx="6">
                  <c:v>Office/Clerical</c:v>
                </c:pt>
                <c:pt idx="7">
                  <c:v>Skilled Craft</c:v>
                </c:pt>
                <c:pt idx="8">
                  <c:v>Officials And Administrators</c:v>
                </c:pt>
                <c:pt idx="9">
                  <c:v>(blank)</c:v>
                </c:pt>
              </c:strCache>
            </c:strRef>
          </c:cat>
          <c:val>
            <c:numRef>
              <c:f>'CATEGORYWISE SALARY RANK'!$B$4:$B$14</c:f>
              <c:numCache>
                <c:formatCode>General</c:formatCode>
                <c:ptCount val="10"/>
                <c:pt idx="0">
                  <c:v>158</c:v>
                </c:pt>
                <c:pt idx="1">
                  <c:v>123</c:v>
                </c:pt>
                <c:pt idx="2">
                  <c:v>39</c:v>
                </c:pt>
                <c:pt idx="3">
                  <c:v>31</c:v>
                </c:pt>
                <c:pt idx="4">
                  <c:v>30</c:v>
                </c:pt>
                <c:pt idx="5">
                  <c:v>29</c:v>
                </c:pt>
                <c:pt idx="6">
                  <c:v>29</c:v>
                </c:pt>
                <c:pt idx="7">
                  <c:v>16</c:v>
                </c:pt>
                <c:pt idx="8">
                  <c:v>5</c:v>
                </c:pt>
              </c:numCache>
            </c:numRef>
          </c:val>
          <c:extLst>
            <c:ext xmlns:c16="http://schemas.microsoft.com/office/drawing/2014/chart" uri="{C3380CC4-5D6E-409C-BE32-E72D297353CC}">
              <c16:uniqueId val="{00000000-53D8-4C49-88CB-88026F5A7477}"/>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850831146106744"/>
          <c:y val="0.25686205890930303"/>
          <c:w val="0.21260279965004375"/>
          <c:h val="0.694005176436278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2</xdr:col>
      <xdr:colOff>442912</xdr:colOff>
      <xdr:row>0</xdr:row>
      <xdr:rowOff>90487</xdr:rowOff>
    </xdr:from>
    <xdr:to>
      <xdr:col>7</xdr:col>
      <xdr:colOff>1014412</xdr:colOff>
      <xdr:row>14</xdr:row>
      <xdr:rowOff>166687</xdr:rowOff>
    </xdr:to>
    <xdr:graphicFrame macro="">
      <xdr:nvGraphicFramePr>
        <xdr:cNvPr id="3" name="Chart 2">
          <a:extLst>
            <a:ext uri="{FF2B5EF4-FFF2-40B4-BE49-F238E27FC236}">
              <a16:creationId xmlns:a16="http://schemas.microsoft.com/office/drawing/2014/main" id="{F7665B05-ECC3-48C6-8B2F-DF97A65C73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304800</xdr:colOff>
      <xdr:row>14</xdr:row>
      <xdr:rowOff>76200</xdr:rowOff>
    </xdr:to>
    <xdr:graphicFrame macro="">
      <xdr:nvGraphicFramePr>
        <xdr:cNvPr id="2" name="Chart 1">
          <a:extLst>
            <a:ext uri="{FF2B5EF4-FFF2-40B4-BE49-F238E27FC236}">
              <a16:creationId xmlns:a16="http://schemas.microsoft.com/office/drawing/2014/main" id="{6E6D9ECB-EB60-46EC-B4EE-7A39ADE8FA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360822</xdr:colOff>
      <xdr:row>14</xdr:row>
      <xdr:rowOff>109167</xdr:rowOff>
    </xdr:from>
    <xdr:to>
      <xdr:col>16</xdr:col>
      <xdr:colOff>304793</xdr:colOff>
      <xdr:row>28</xdr:row>
      <xdr:rowOff>181439</xdr:rowOff>
    </xdr:to>
    <xdr:graphicFrame macro="">
      <xdr:nvGraphicFramePr>
        <xdr:cNvPr id="3" name="Chart 2">
          <a:extLst>
            <a:ext uri="{FF2B5EF4-FFF2-40B4-BE49-F238E27FC236}">
              <a16:creationId xmlns:a16="http://schemas.microsoft.com/office/drawing/2014/main" id="{D42C4109-85D0-4F5E-BAC0-5CFF56D136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1868</xdr:colOff>
      <xdr:row>14</xdr:row>
      <xdr:rowOff>129755</xdr:rowOff>
    </xdr:from>
    <xdr:to>
      <xdr:col>7</xdr:col>
      <xdr:colOff>306668</xdr:colOff>
      <xdr:row>29</xdr:row>
      <xdr:rowOff>15649</xdr:rowOff>
    </xdr:to>
    <xdr:graphicFrame macro="">
      <xdr:nvGraphicFramePr>
        <xdr:cNvPr id="4" name="Chart 3">
          <a:extLst>
            <a:ext uri="{FF2B5EF4-FFF2-40B4-BE49-F238E27FC236}">
              <a16:creationId xmlns:a16="http://schemas.microsoft.com/office/drawing/2014/main" id="{B1498AA3-B2ED-4965-B8AA-FBF93F38EB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581047</xdr:colOff>
      <xdr:row>0</xdr:row>
      <xdr:rowOff>10027</xdr:rowOff>
    </xdr:from>
    <xdr:to>
      <xdr:col>16</xdr:col>
      <xdr:colOff>280737</xdr:colOff>
      <xdr:row>14</xdr:row>
      <xdr:rowOff>82491</xdr:rowOff>
    </xdr:to>
    <xdr:graphicFrame macro="">
      <xdr:nvGraphicFramePr>
        <xdr:cNvPr id="5" name="Chart 4">
          <a:extLst>
            <a:ext uri="{FF2B5EF4-FFF2-40B4-BE49-F238E27FC236}">
              <a16:creationId xmlns:a16="http://schemas.microsoft.com/office/drawing/2014/main" id="{066C3133-912C-42CA-B425-C8D72E9337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320841</xdr:colOff>
      <xdr:row>0</xdr:row>
      <xdr:rowOff>40104</xdr:rowOff>
    </xdr:from>
    <xdr:to>
      <xdr:col>10</xdr:col>
      <xdr:colOff>541421</xdr:colOff>
      <xdr:row>1</xdr:row>
      <xdr:rowOff>150393</xdr:rowOff>
    </xdr:to>
    <xdr:sp macro="" textlink="">
      <xdr:nvSpPr>
        <xdr:cNvPr id="8" name="Rectangle 7">
          <a:extLst>
            <a:ext uri="{FF2B5EF4-FFF2-40B4-BE49-F238E27FC236}">
              <a16:creationId xmlns:a16="http://schemas.microsoft.com/office/drawing/2014/main" id="{DA39CB3B-28F4-4711-A318-462C4652C047}"/>
            </a:ext>
          </a:extLst>
        </xdr:cNvPr>
        <xdr:cNvSpPr/>
      </xdr:nvSpPr>
      <xdr:spPr>
        <a:xfrm>
          <a:off x="4592052" y="40104"/>
          <a:ext cx="2055395" cy="30078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Employee </a:t>
          </a:r>
          <a:r>
            <a:rPr lang="en-US" sz="1050" b="1"/>
            <a:t>Demographic</a:t>
          </a:r>
          <a:r>
            <a:rPr lang="en-US" sz="1100" b="1"/>
            <a:t> Analysis</a:t>
          </a:r>
        </a:p>
      </xdr:txBody>
    </xdr:sp>
    <xdr:clientData/>
  </xdr:twoCellAnchor>
  <xdr:twoCellAnchor editAs="oneCell">
    <xdr:from>
      <xdr:col>7</xdr:col>
      <xdr:colOff>391026</xdr:colOff>
      <xdr:row>2</xdr:row>
      <xdr:rowOff>2017</xdr:rowOff>
    </xdr:from>
    <xdr:to>
      <xdr:col>10</xdr:col>
      <xdr:colOff>492290</xdr:colOff>
      <xdr:row>8</xdr:row>
      <xdr:rowOff>30080</xdr:rowOff>
    </xdr:to>
    <mc:AlternateContent xmlns:mc="http://schemas.openxmlformats.org/markup-compatibility/2006" xmlns:a14="http://schemas.microsoft.com/office/drawing/2010/main">
      <mc:Choice Requires="a14">
        <xdr:graphicFrame macro="[0]!Department_Click">
          <xdr:nvGraphicFramePr>
            <xdr:cNvPr id="9" name="Department">
              <a:extLst>
                <a:ext uri="{FF2B5EF4-FFF2-40B4-BE49-F238E27FC236}">
                  <a16:creationId xmlns:a16="http://schemas.microsoft.com/office/drawing/2014/main" id="{37474EC5-CFF3-413B-A7CA-20194490358F}"/>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4662237" y="383017"/>
              <a:ext cx="1936079" cy="11710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381001</xdr:colOff>
      <xdr:row>8</xdr:row>
      <xdr:rowOff>47119</xdr:rowOff>
    </xdr:from>
    <xdr:to>
      <xdr:col>10</xdr:col>
      <xdr:colOff>521370</xdr:colOff>
      <xdr:row>14</xdr:row>
      <xdr:rowOff>70180</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4875CEB-1BAC-4CEF-ACB3-1C3665ACCD22}"/>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4652212" y="1571119"/>
              <a:ext cx="1975184" cy="116606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c:userShapes xmlns:c="http://schemas.openxmlformats.org/drawingml/2006/chart">
  <cdr:relSizeAnchor xmlns:cdr="http://schemas.openxmlformats.org/drawingml/2006/chartDrawing">
    <cdr:from>
      <cdr:x>0.34688</cdr:x>
      <cdr:y>0.08681</cdr:y>
    </cdr:from>
    <cdr:to>
      <cdr:x>0.81979</cdr:x>
      <cdr:y>0.19444</cdr:y>
    </cdr:to>
    <cdr:sp macro="" textlink="">
      <cdr:nvSpPr>
        <cdr:cNvPr id="2" name="Rectangle 1">
          <a:extLst xmlns:a="http://schemas.openxmlformats.org/drawingml/2006/main">
            <a:ext uri="{FF2B5EF4-FFF2-40B4-BE49-F238E27FC236}">
              <a16:creationId xmlns:a16="http://schemas.microsoft.com/office/drawing/2014/main" id="{FBF0BF2A-8788-44A8-8DA8-C0579B7A0BE2}"/>
            </a:ext>
          </a:extLst>
        </cdr:cNvPr>
        <cdr:cNvSpPr/>
      </cdr:nvSpPr>
      <cdr:spPr>
        <a:xfrm xmlns:a="http://schemas.openxmlformats.org/drawingml/2006/main">
          <a:off x="1585913" y="238124"/>
          <a:ext cx="2162175" cy="295275"/>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6"/>
        </a:lnRef>
        <a:fillRef xmlns:a="http://schemas.openxmlformats.org/drawingml/2006/main" idx="1">
          <a:schemeClr val="lt1"/>
        </a:fillRef>
        <a:effectRef xmlns:a="http://schemas.openxmlformats.org/drawingml/2006/main" idx="0">
          <a:schemeClr val="accent6"/>
        </a:effectRef>
        <a:fontRef xmlns:a="http://schemas.openxmlformats.org/drawingml/2006/main" idx="minor">
          <a:schemeClr val="dk1"/>
        </a:fontRef>
      </cdr:style>
      <cdr:txBody>
        <a:bodyPr xmlns:a="http://schemas.openxmlformats.org/drawingml/2006/main" vertOverflow="clip"/>
        <a:lstStyle xmlns:a="http://schemas.openxmlformats.org/drawingml/2006/main"/>
        <a:p xmlns:a="http://schemas.openxmlformats.org/drawingml/2006/main">
          <a:r>
            <a:rPr lang="en-US" sz="1100" b="0" cap="none" spc="0">
              <a:ln w="0"/>
              <a:solidFill>
                <a:schemeClr val="accent1"/>
              </a:solidFill>
              <a:effectLst>
                <a:outerShdw blurRad="38100" dist="25400" dir="5400000" algn="ctr" rotWithShape="0">
                  <a:srgbClr val="6E747A">
                    <a:alpha val="43000"/>
                  </a:srgbClr>
                </a:outerShdw>
              </a:effectLst>
            </a:rPr>
            <a:t>CATEGORYWISE SALARY COUNT</a:t>
          </a:r>
        </a:p>
      </cdr:txBody>
    </cdr:sp>
  </cdr:relSizeAnchor>
</c:userShapes>
</file>

<file path=xl/drawings/drawing4.xml><?xml version="1.0" encoding="utf-8"?>
<xdr:wsDr xmlns:xdr="http://schemas.openxmlformats.org/drawingml/2006/spreadsheetDrawing" xmlns:a="http://schemas.openxmlformats.org/drawingml/2006/main">
  <xdr:twoCellAnchor>
    <xdr:from>
      <xdr:col>2</xdr:col>
      <xdr:colOff>252412</xdr:colOff>
      <xdr:row>0</xdr:row>
      <xdr:rowOff>0</xdr:rowOff>
    </xdr:from>
    <xdr:to>
      <xdr:col>9</xdr:col>
      <xdr:colOff>557212</xdr:colOff>
      <xdr:row>14</xdr:row>
      <xdr:rowOff>76200</xdr:rowOff>
    </xdr:to>
    <xdr:graphicFrame macro="">
      <xdr:nvGraphicFramePr>
        <xdr:cNvPr id="4" name="Chart 3">
          <a:extLst>
            <a:ext uri="{FF2B5EF4-FFF2-40B4-BE49-F238E27FC236}">
              <a16:creationId xmlns:a16="http://schemas.microsoft.com/office/drawing/2014/main" id="{D2C8437C-B9E1-4C1F-A8E7-9ABE596DB3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0.34688</cdr:x>
      <cdr:y>0.08681</cdr:y>
    </cdr:from>
    <cdr:to>
      <cdr:x>0.81979</cdr:x>
      <cdr:y>0.19444</cdr:y>
    </cdr:to>
    <cdr:sp macro="" textlink="">
      <cdr:nvSpPr>
        <cdr:cNvPr id="2" name="Rectangle 1">
          <a:extLst xmlns:a="http://schemas.openxmlformats.org/drawingml/2006/main">
            <a:ext uri="{FF2B5EF4-FFF2-40B4-BE49-F238E27FC236}">
              <a16:creationId xmlns:a16="http://schemas.microsoft.com/office/drawing/2014/main" id="{FBF0BF2A-8788-44A8-8DA8-C0579B7A0BE2}"/>
            </a:ext>
          </a:extLst>
        </cdr:cNvPr>
        <cdr:cNvSpPr/>
      </cdr:nvSpPr>
      <cdr:spPr>
        <a:xfrm xmlns:a="http://schemas.openxmlformats.org/drawingml/2006/main">
          <a:off x="1585913" y="238124"/>
          <a:ext cx="2162175" cy="295275"/>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6"/>
        </a:lnRef>
        <a:fillRef xmlns:a="http://schemas.openxmlformats.org/drawingml/2006/main" idx="1">
          <a:schemeClr val="lt1"/>
        </a:fillRef>
        <a:effectRef xmlns:a="http://schemas.openxmlformats.org/drawingml/2006/main" idx="0">
          <a:schemeClr val="accent6"/>
        </a:effectRef>
        <a:fontRef xmlns:a="http://schemas.openxmlformats.org/drawingml/2006/main" idx="minor">
          <a:schemeClr val="dk1"/>
        </a:fontRef>
      </cdr:style>
      <cdr:txBody>
        <a:bodyPr xmlns:a="http://schemas.openxmlformats.org/drawingml/2006/main" vertOverflow="clip"/>
        <a:lstStyle xmlns:a="http://schemas.openxmlformats.org/drawingml/2006/main"/>
        <a:p xmlns:a="http://schemas.openxmlformats.org/drawingml/2006/main">
          <a:r>
            <a:rPr lang="en-US" sz="1100" b="0" cap="none" spc="0">
              <a:ln w="0"/>
              <a:solidFill>
                <a:schemeClr val="accent1"/>
              </a:solidFill>
              <a:effectLst>
                <a:outerShdw blurRad="38100" dist="25400" dir="5400000" algn="ctr" rotWithShape="0">
                  <a:srgbClr val="6E747A">
                    <a:alpha val="43000"/>
                  </a:srgbClr>
                </a:outerShdw>
              </a:effectLst>
            </a:rPr>
            <a:t>CATEGORYWISE SALARY COUNT</a:t>
          </a:r>
        </a:p>
      </cdr:txBody>
    </cdr:sp>
  </cdr:relSizeAnchor>
</c:userShapes>
</file>

<file path=xl/drawings/drawing6.xml><?xml version="1.0" encoding="utf-8"?>
<xdr:wsDr xmlns:xdr="http://schemas.openxmlformats.org/drawingml/2006/spreadsheetDrawing" xmlns:a="http://schemas.openxmlformats.org/drawingml/2006/main">
  <xdr:twoCellAnchor>
    <xdr:from>
      <xdr:col>1</xdr:col>
      <xdr:colOff>1290637</xdr:colOff>
      <xdr:row>4</xdr:row>
      <xdr:rowOff>4762</xdr:rowOff>
    </xdr:from>
    <xdr:to>
      <xdr:col>9</xdr:col>
      <xdr:colOff>566737</xdr:colOff>
      <xdr:row>18</xdr:row>
      <xdr:rowOff>80962</xdr:rowOff>
    </xdr:to>
    <xdr:graphicFrame macro="">
      <xdr:nvGraphicFramePr>
        <xdr:cNvPr id="2" name="Chart 1">
          <a:extLst>
            <a:ext uri="{FF2B5EF4-FFF2-40B4-BE49-F238E27FC236}">
              <a16:creationId xmlns:a16="http://schemas.microsoft.com/office/drawing/2014/main" id="{A5836513-4FF1-4CA4-A962-822565B41C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209550</xdr:colOff>
      <xdr:row>0</xdr:row>
      <xdr:rowOff>176212</xdr:rowOff>
    </xdr:from>
    <xdr:to>
      <xdr:col>9</xdr:col>
      <xdr:colOff>514350</xdr:colOff>
      <xdr:row>15</xdr:row>
      <xdr:rowOff>61912</xdr:rowOff>
    </xdr:to>
    <xdr:graphicFrame macro="">
      <xdr:nvGraphicFramePr>
        <xdr:cNvPr id="2" name="Chart 1">
          <a:extLst>
            <a:ext uri="{FF2B5EF4-FFF2-40B4-BE49-F238E27FC236}">
              <a16:creationId xmlns:a16="http://schemas.microsoft.com/office/drawing/2014/main" id="{3AF396A9-1BFD-44CC-BD4F-C03F9886F3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AJWAL RATNAPARKHI" refreshedDate="45878.654379976855" createdVersion="6" refreshedVersion="6" minRefreshableVersion="3" recordCount="201" xr:uid="{1C939DB8-527C-40E9-90AB-1CED729A3D43}">
  <cacheSource type="worksheet">
    <worksheetSource ref="A1:O1048576" sheet="Dataset"/>
  </cacheSource>
  <cacheFields count="15">
    <cacheField name="Title" numFmtId="0">
      <sharedItems containsBlank="1" count="108">
        <s v="Legislative Assistant-Nc"/>
        <s v="Firefighter"/>
        <s v="Public Safety Dispatcher Iii"/>
        <s v="Maintenance Asst I-Nc"/>
        <s v="Refuse Operator Iii"/>
        <s v="Port Security System Oper Iii"/>
        <s v="Planner V"/>
        <s v="Communications Officer"/>
        <s v="Recreation Ldr/Speclst Iv-Nc"/>
        <s v="Business Systems Speclst Vii"/>
        <s v="Maintenance Assistant Iii"/>
        <s v="Audit Analyst"/>
        <s v="Senior Survey Technician"/>
        <s v="Maintenance Assistant Ii"/>
        <s v="Public Health Assoc Iii"/>
        <s v="Recreation Ldr/Speclst V-Nc"/>
        <s v="Special Svcs Officer Iii-Armed"/>
        <s v="Administrative Intern-Nc"/>
        <s v="Administrative Analyst I"/>
        <s v="Asst Admin Analyst Ii"/>
        <s v="Events Coordinator I"/>
        <s v="Musician-Nc"/>
        <s v="Refuse Operator I-Nc"/>
        <s v="Environ Remediation Spec Ii"/>
        <s v="Counselor Ii"/>
        <s v="Water Utility Supervisor I"/>
        <s v="Legal Records Assistant"/>
        <s v="Police Officer"/>
        <s v="Fire Recruit"/>
        <s v="Refuse Operator Iv"/>
        <s v="Community Services Supervisor"/>
        <s v="Equipment Mechanic I"/>
        <s v="Gas Construction Worker Ii"/>
        <s v="Lifeguard-Hrly-Nc"/>
        <s v="Senior Librarian"/>
        <s v="Library Aide-Nc"/>
        <s v="Senior Accountant"/>
        <s v="License Inspector I"/>
        <s v="Accountant Ii"/>
        <s v="Police Recruit"/>
        <s v="Civil Engineering Assistant"/>
        <s v="Recreation Ldr/Speclst Vii-Nc"/>
        <s v="Clerk Typist Iii"/>
        <s v="Water Utility Mechanic I"/>
        <s v="General Librarian"/>
        <s v="Systems Support Speclst Ii"/>
        <s v="Recreation Ldr/Speclst Iii-Nc"/>
        <s v="Motor Sweeper Operator"/>
        <s v="Comb Bldg Insp Aide Ii"/>
        <s v="Financial Services Officer"/>
        <s v="Clerk Ii-Nc"/>
        <s v="Administrative Aide Ii"/>
        <s v="Deputy City Prosecutor"/>
        <s v="Department Safety Officer"/>
        <s v="Veterinarian"/>
        <s v="Refuse Operator I"/>
        <s v="Police Sergeant"/>
        <s v="Accountant Iii"/>
        <s v="Supt-Park Maintenance"/>
        <s v="Police Lieutenant"/>
        <s v="Construction Inspector I"/>
        <s v="Refuse Operator Ii"/>
        <s v="Electrician"/>
        <s v="Police Investigator-Nc"/>
        <s v="Special Projects Officer"/>
        <s v="Secretary"/>
        <s v="Surveyor"/>
        <s v="Public Safety Dispatcher I"/>
        <s v="Senior Civil Engineer"/>
        <s v="Water Utility Supervisor Ii"/>
        <s v="Systems Analyst I"/>
        <s v="Gas Field Service Rep Iii"/>
        <s v="Administrative Analyst Ii"/>
        <s v="Spcl Scs Of Iii-Arm Arpt Pc Of"/>
        <s v="Director Of Security"/>
        <s v="Parking Control Checker I"/>
        <s v="Fire Engineer"/>
        <s v="Storekeeper Ii"/>
        <s v="Police Commander"/>
        <s v="Administrative Analyst I-Nc"/>
        <s v="Equipment Operator Iii"/>
        <s v="Civil Engineer"/>
        <s v="Clerk Typist Ii"/>
        <s v="Accounting Clerk Iii"/>
        <s v="Special Projects Off-Housing"/>
        <s v="License Inspector Ii"/>
        <s v="City Clerk Specialist"/>
        <s v="Retired Annuitant-Admn Sppt-Nc"/>
        <s v="Principal Building Inspector"/>
        <s v="Special Services Officer Ii"/>
        <s v="Criminalist Ii-Misc"/>
        <s v="Senior Program Manager"/>
        <s v="Administrative Analyst Iii"/>
        <s v="Partnership Officer"/>
        <s v="Public Health Associate-Nc"/>
        <s v="Environmental Specialist Assoc"/>
        <s v="Information Systems Officer"/>
        <s v="Principal Deputy City Attorney"/>
        <s v="Public Health Nutritionist I"/>
        <s v="Maintenance Assistant I"/>
        <s v="Water Utility Mechanic Ii"/>
        <s v="Business Systems Speclst Vi"/>
        <s v="Health Educator Ii"/>
        <s v="Community Devel Technician Iii"/>
        <s v="Harbor Patrol Officer Ii"/>
        <s v="Development Project Mgr Iii"/>
        <s v="Housing Aide Ii"/>
        <m/>
      </sharedItems>
    </cacheField>
    <cacheField name="Department" numFmtId="0">
      <sharedItems containsBlank="1" count="27">
        <s v="Legislative"/>
        <s v="Fire"/>
        <s v="Disaster Pre &amp; Emr Comm"/>
        <s v="Parks, Recreation &amp; Marine"/>
        <s v="Public Works"/>
        <s v="Harbor"/>
        <s v="Community Development"/>
        <s v="Water"/>
        <s v="City Auditor"/>
        <s v="Airport"/>
        <s v="Health &amp; Human Services"/>
        <s v="Police"/>
        <s v="Utilities"/>
        <s v="City Manager"/>
        <s v="Law"/>
        <s v="Long Beach Gas &amp; Oil"/>
        <s v="Library Services"/>
        <s v="Economic Development"/>
        <s v="Financial Management"/>
        <s v="Civil Service"/>
        <s v="Technology And Innovation"/>
        <s v="Development Services"/>
        <s v="City Prosecutor"/>
        <s v="Human Resources"/>
        <s v="City Clerk"/>
        <s v="Energy Resources"/>
        <m/>
      </sharedItems>
    </cacheField>
    <cacheField name="Category" numFmtId="0">
      <sharedItems containsBlank="1" count="10">
        <s v="Professionals"/>
        <s v="Protective Services"/>
        <s v="Office/Clerical"/>
        <s v="Service/Maintenance"/>
        <s v="Paraprofessionals"/>
        <s v="Technicians"/>
        <s v="Skilled Craft"/>
        <s v="Officials And Administrators"/>
        <s v="Officials/Administrators"/>
        <m/>
      </sharedItems>
    </cacheField>
    <cacheField name="Classification_Status" numFmtId="0">
      <sharedItems containsBlank="1"/>
    </cacheField>
    <cacheField name="Yearly_Salary_Bracket" numFmtId="0">
      <sharedItems containsBlank="1" count="7">
        <s v="A:$0 - $59,999"/>
        <s v="B:$60,000 - $89,999"/>
        <s v="C:$90,000 - $119,999"/>
        <s v="D:$120,000 - $149,999"/>
        <s v="E:$150,000 - $179,999"/>
        <s v="F:$180,000+"/>
        <m/>
      </sharedItems>
    </cacheField>
    <cacheField name="Age_Bracket" numFmtId="0">
      <sharedItems containsBlank="1" count="8">
        <s v="50-59"/>
        <s v="30-39"/>
        <s v="60+"/>
        <s v="40-49"/>
        <s v="0 - 20"/>
        <s v="20-29"/>
        <s v="&lt; 20"/>
        <m/>
      </sharedItems>
    </cacheField>
    <cacheField name="Hourly_Rate_Bracket" numFmtId="0">
      <sharedItems containsBlank="1" count="7">
        <s v="25 - 34.99"/>
        <s v="35 - 44.99"/>
        <s v="15 - 24.99"/>
        <s v="45 - 54.99"/>
        <s v="55+"/>
        <s v="0 - 14.99"/>
        <m/>
      </sharedItems>
    </cacheField>
    <cacheField name="Gender" numFmtId="0">
      <sharedItems containsBlank="1" count="3">
        <s v="Female"/>
        <s v="Male"/>
        <m/>
      </sharedItems>
    </cacheField>
    <cacheField name="Ethnicity" numFmtId="0">
      <sharedItems containsBlank="1"/>
    </cacheField>
    <cacheField name="Position_Type" numFmtId="0">
      <sharedItems containsBlank="1" count="4">
        <s v="Temporary Part-Time"/>
        <s v="Permanent Full-Time"/>
        <s v="Seasonal Part-Time"/>
        <m/>
      </sharedItems>
    </cacheField>
    <cacheField name="Is_Fulltime" numFmtId="0">
      <sharedItems containsBlank="1"/>
    </cacheField>
    <cacheField name="Load_Date" numFmtId="0">
      <sharedItems containsBlank="1" count="21">
        <s v="2017-01-01T05:30:00+05:30"/>
        <s v="2020-01-01T05:30:00+05:30"/>
        <s v="2019-01-01T05:30:00+05:30"/>
        <s v="2025-04-01T11:35:00+05:30"/>
        <s v="2025-05-01T11:35:00+05:30"/>
        <s v="2018-01-01T05:30:00+05:30"/>
        <s v="2015-01-01T05:30:00+05:30"/>
        <s v="2024-12-02T16:01:00+05:30"/>
        <s v="2025-02-01T11:34:00+05:30"/>
        <s v="2013-01-01T05:30:00+05:30"/>
        <s v="2014-01-01T05:30:00+05:30"/>
        <s v="2025-03-04T15:37:00+05:30"/>
        <s v="2025-06-01T11:35:00+05:30"/>
        <s v="2011-01-01T05:30:00+05:30"/>
        <s v="2012-01-01T05:30:00+05:30"/>
        <s v="2025-01-01T11:34:00+05:30"/>
        <s v="2025-08-01T20:17:00+05:30"/>
        <s v="2016-01-01T05:30:00+05:30"/>
        <s v="2025-07-01T11:35:00+05:30"/>
        <s v="2024-11-01T11:32:00+05:30"/>
        <m/>
      </sharedItems>
    </cacheField>
    <cacheField name="DATE" numFmtId="0">
      <sharedItems containsBlank="1" count="21">
        <s v="2017-01-01T05:30:00+05:30"/>
        <s v="2020-01-01T05:30:00+05:30"/>
        <s v="2019-01-01T05:30:00+05:30"/>
        <s v="2025-04-01T05:30:00+05:30"/>
        <s v="2025-05-01T05:30:00+05:30"/>
        <s v="2018-01-01T05:30:00+05:30"/>
        <s v="2015-01-01T05:30:00+05:30"/>
        <s v="2024-12-01T05:30:00+05:30"/>
        <s v="2025-02-01T05:30:00+05:30"/>
        <s v="2013-01-01T05:30:00+05:30"/>
        <s v="2014-01-01T05:30:00+05:30"/>
        <s v="2025-03-01T05:30:00+05:30"/>
        <s v="2025-06-01T05:30:00+05:30"/>
        <s v="2011-01-01T05:30:00+05:30"/>
        <s v="2012-01-01T05:30:00+05:30"/>
        <s v="2025-01-01T05:30:00+05:30"/>
        <s v="2025-08-01T05:30:00+05:30"/>
        <s v="2016-01-01T05:30:00+05:30"/>
        <s v="2025-07-01T05:30:00+05:30"/>
        <s v="2024-11-01T05:30:00+05:30"/>
        <m/>
      </sharedItems>
    </cacheField>
    <cacheField name="IS_YEAR_TOTAL" numFmtId="0">
      <sharedItems containsBlank="1" count="3">
        <b v="1"/>
        <b v="0"/>
        <m/>
      </sharedItems>
    </cacheField>
    <cacheField name="YEARLY_SALARY_RANK" numFmtId="0">
      <sharedItems containsString="0" containsBlank="1" containsNumber="1" containsInteger="1" minValue="1" maxValue="6"/>
    </cacheField>
  </cacheFields>
  <extLst>
    <ext xmlns:x14="http://schemas.microsoft.com/office/spreadsheetml/2009/9/main" uri="{725AE2AE-9491-48be-B2B4-4EB974FC3084}">
      <x14:pivotCacheDefinition pivotCacheId="6005389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1">
  <r>
    <x v="0"/>
    <x v="0"/>
    <x v="0"/>
    <s v="Unclassified"/>
    <x v="0"/>
    <x v="0"/>
    <x v="0"/>
    <x v="0"/>
    <s v="White"/>
    <x v="0"/>
    <s v="Part-Time"/>
    <x v="0"/>
    <x v="0"/>
    <x v="0"/>
    <n v="1"/>
  </r>
  <r>
    <x v="1"/>
    <x v="1"/>
    <x v="1"/>
    <s v="Classified"/>
    <x v="1"/>
    <x v="1"/>
    <x v="1"/>
    <x v="1"/>
    <s v="Asian"/>
    <x v="1"/>
    <s v="Full-Time"/>
    <x v="1"/>
    <x v="1"/>
    <x v="0"/>
    <n v="2"/>
  </r>
  <r>
    <x v="2"/>
    <x v="2"/>
    <x v="2"/>
    <s v="Unclassified"/>
    <x v="1"/>
    <x v="2"/>
    <x v="1"/>
    <x v="1"/>
    <s v="Hispanic"/>
    <x v="1"/>
    <s v="Full-Time"/>
    <x v="2"/>
    <x v="2"/>
    <x v="0"/>
    <n v="2"/>
  </r>
  <r>
    <x v="3"/>
    <x v="3"/>
    <x v="3"/>
    <s v="Unclassified"/>
    <x v="0"/>
    <x v="1"/>
    <x v="2"/>
    <x v="0"/>
    <s v="Hispanic"/>
    <x v="2"/>
    <s v="Part-Time"/>
    <x v="0"/>
    <x v="0"/>
    <x v="0"/>
    <n v="1"/>
  </r>
  <r>
    <x v="4"/>
    <x v="4"/>
    <x v="3"/>
    <s v="Miscellaneous"/>
    <x v="1"/>
    <x v="3"/>
    <x v="1"/>
    <x v="1"/>
    <s v="Hispanic"/>
    <x v="1"/>
    <s v="Full-Time"/>
    <x v="3"/>
    <x v="3"/>
    <x v="1"/>
    <n v="2"/>
  </r>
  <r>
    <x v="5"/>
    <x v="5"/>
    <x v="2"/>
    <s v="Miscellaneous"/>
    <x v="2"/>
    <x v="3"/>
    <x v="3"/>
    <x v="0"/>
    <s v="Hispanic"/>
    <x v="1"/>
    <s v="Full-Time"/>
    <x v="4"/>
    <x v="4"/>
    <x v="1"/>
    <n v="3"/>
  </r>
  <r>
    <x v="6"/>
    <x v="6"/>
    <x v="0"/>
    <s v="Miscellaneous"/>
    <x v="3"/>
    <x v="2"/>
    <x v="4"/>
    <x v="0"/>
    <s v="White"/>
    <x v="1"/>
    <s v="Full-Time"/>
    <x v="3"/>
    <x v="3"/>
    <x v="1"/>
    <n v="4"/>
  </r>
  <r>
    <x v="7"/>
    <x v="5"/>
    <x v="0"/>
    <s v="Unclassified"/>
    <x v="2"/>
    <x v="1"/>
    <x v="3"/>
    <x v="0"/>
    <s v="Asian"/>
    <x v="1"/>
    <s v="Full-Time"/>
    <x v="5"/>
    <x v="5"/>
    <x v="0"/>
    <n v="3"/>
  </r>
  <r>
    <x v="8"/>
    <x v="3"/>
    <x v="4"/>
    <s v="Unclassified"/>
    <x v="0"/>
    <x v="4"/>
    <x v="5"/>
    <x v="1"/>
    <s v="White"/>
    <x v="2"/>
    <s v="Part-Time"/>
    <x v="2"/>
    <x v="2"/>
    <x v="0"/>
    <n v="1"/>
  </r>
  <r>
    <x v="9"/>
    <x v="7"/>
    <x v="0"/>
    <s v="Unclassified"/>
    <x v="3"/>
    <x v="3"/>
    <x v="4"/>
    <x v="1"/>
    <s v="White"/>
    <x v="1"/>
    <s v="Full-Time"/>
    <x v="1"/>
    <x v="1"/>
    <x v="0"/>
    <n v="4"/>
  </r>
  <r>
    <x v="10"/>
    <x v="4"/>
    <x v="3"/>
    <s v="Unclassified"/>
    <x v="0"/>
    <x v="0"/>
    <x v="2"/>
    <x v="1"/>
    <s v="Black"/>
    <x v="1"/>
    <s v="Full-Time"/>
    <x v="6"/>
    <x v="6"/>
    <x v="0"/>
    <n v="1"/>
  </r>
  <r>
    <x v="11"/>
    <x v="8"/>
    <x v="0"/>
    <s v="Unclassified"/>
    <x v="2"/>
    <x v="0"/>
    <x v="3"/>
    <x v="0"/>
    <s v="White"/>
    <x v="1"/>
    <s v="Full-Time"/>
    <x v="5"/>
    <x v="5"/>
    <x v="0"/>
    <n v="3"/>
  </r>
  <r>
    <x v="12"/>
    <x v="5"/>
    <x v="5"/>
    <s v="Miscellaneous"/>
    <x v="1"/>
    <x v="3"/>
    <x v="1"/>
    <x v="1"/>
    <s v="Hispanic"/>
    <x v="1"/>
    <s v="Full-Time"/>
    <x v="7"/>
    <x v="7"/>
    <x v="1"/>
    <n v="2"/>
  </r>
  <r>
    <x v="13"/>
    <x v="9"/>
    <x v="3"/>
    <s v="Miscellaneous"/>
    <x v="0"/>
    <x v="0"/>
    <x v="2"/>
    <x v="0"/>
    <s v="Hispanic"/>
    <x v="1"/>
    <s v="Full-Time"/>
    <x v="8"/>
    <x v="8"/>
    <x v="1"/>
    <n v="1"/>
  </r>
  <r>
    <x v="14"/>
    <x v="10"/>
    <x v="2"/>
    <s v="Miscellaneous"/>
    <x v="1"/>
    <x v="5"/>
    <x v="1"/>
    <x v="0"/>
    <s v="Asian"/>
    <x v="1"/>
    <s v="Full-Time"/>
    <x v="7"/>
    <x v="7"/>
    <x v="1"/>
    <n v="2"/>
  </r>
  <r>
    <x v="15"/>
    <x v="3"/>
    <x v="4"/>
    <s v="Unclassified"/>
    <x v="0"/>
    <x v="0"/>
    <x v="5"/>
    <x v="1"/>
    <s v="White"/>
    <x v="2"/>
    <s v="Part-Time"/>
    <x v="9"/>
    <x v="9"/>
    <x v="0"/>
    <n v="1"/>
  </r>
  <r>
    <x v="16"/>
    <x v="11"/>
    <x v="1"/>
    <s v="Unclassified"/>
    <x v="0"/>
    <x v="0"/>
    <x v="0"/>
    <x v="1"/>
    <s v="Black"/>
    <x v="1"/>
    <s v="Full-Time"/>
    <x v="5"/>
    <x v="5"/>
    <x v="0"/>
    <n v="1"/>
  </r>
  <r>
    <x v="17"/>
    <x v="4"/>
    <x v="4"/>
    <s v="Miscellaneous"/>
    <x v="0"/>
    <x v="5"/>
    <x v="2"/>
    <x v="0"/>
    <s v="Hispanic"/>
    <x v="2"/>
    <s v="Part-Time"/>
    <x v="7"/>
    <x v="7"/>
    <x v="1"/>
    <n v="1"/>
  </r>
  <r>
    <x v="18"/>
    <x v="5"/>
    <x v="0"/>
    <s v="Miscellaneous"/>
    <x v="2"/>
    <x v="1"/>
    <x v="3"/>
    <x v="0"/>
    <s v="Hispanic"/>
    <x v="1"/>
    <s v="Full-Time"/>
    <x v="3"/>
    <x v="3"/>
    <x v="1"/>
    <n v="3"/>
  </r>
  <r>
    <x v="19"/>
    <x v="12"/>
    <x v="0"/>
    <s v="Miscellaneous"/>
    <x v="1"/>
    <x v="1"/>
    <x v="1"/>
    <x v="1"/>
    <s v="White"/>
    <x v="1"/>
    <s v="Full-Time"/>
    <x v="3"/>
    <x v="3"/>
    <x v="1"/>
    <n v="2"/>
  </r>
  <r>
    <x v="15"/>
    <x v="3"/>
    <x v="4"/>
    <s v="Unclassified"/>
    <x v="0"/>
    <x v="5"/>
    <x v="5"/>
    <x v="0"/>
    <s v="Hispanic"/>
    <x v="2"/>
    <s v="Part-Time"/>
    <x v="5"/>
    <x v="5"/>
    <x v="0"/>
    <n v="1"/>
  </r>
  <r>
    <x v="20"/>
    <x v="13"/>
    <x v="0"/>
    <s v="Unclassified"/>
    <x v="0"/>
    <x v="1"/>
    <x v="0"/>
    <x v="0"/>
    <s v="Hispanic"/>
    <x v="1"/>
    <s v="Full-Time"/>
    <x v="10"/>
    <x v="10"/>
    <x v="0"/>
    <n v="1"/>
  </r>
  <r>
    <x v="21"/>
    <x v="3"/>
    <x v="5"/>
    <s v="Unclassified"/>
    <x v="2"/>
    <x v="2"/>
    <x v="3"/>
    <x v="1"/>
    <s v="White"/>
    <x v="2"/>
    <s v="Part-Time"/>
    <x v="5"/>
    <x v="5"/>
    <x v="0"/>
    <n v="3"/>
  </r>
  <r>
    <x v="22"/>
    <x v="4"/>
    <x v="3"/>
    <s v="Miscellaneous"/>
    <x v="0"/>
    <x v="5"/>
    <x v="0"/>
    <x v="1"/>
    <s v="Hispanic"/>
    <x v="2"/>
    <s v="Part-Time"/>
    <x v="11"/>
    <x v="11"/>
    <x v="1"/>
    <n v="1"/>
  </r>
  <r>
    <x v="23"/>
    <x v="5"/>
    <x v="0"/>
    <s v="Unclassified"/>
    <x v="3"/>
    <x v="0"/>
    <x v="4"/>
    <x v="1"/>
    <s v="White"/>
    <x v="1"/>
    <s v="Full-Time"/>
    <x v="0"/>
    <x v="0"/>
    <x v="0"/>
    <n v="4"/>
  </r>
  <r>
    <x v="24"/>
    <x v="10"/>
    <x v="2"/>
    <s v="Miscellaneous"/>
    <x v="0"/>
    <x v="1"/>
    <x v="0"/>
    <x v="0"/>
    <s v="Hispanic"/>
    <x v="1"/>
    <s v="Full-Time"/>
    <x v="12"/>
    <x v="12"/>
    <x v="1"/>
    <n v="1"/>
  </r>
  <r>
    <x v="25"/>
    <x v="7"/>
    <x v="6"/>
    <s v="Unclassified"/>
    <x v="2"/>
    <x v="3"/>
    <x v="3"/>
    <x v="1"/>
    <s v="Hispanic"/>
    <x v="1"/>
    <s v="Full-Time"/>
    <x v="2"/>
    <x v="2"/>
    <x v="0"/>
    <n v="3"/>
  </r>
  <r>
    <x v="26"/>
    <x v="14"/>
    <x v="2"/>
    <s v="Miscellaneous"/>
    <x v="0"/>
    <x v="0"/>
    <x v="2"/>
    <x v="1"/>
    <s v="Hispanic"/>
    <x v="1"/>
    <s v="Full-Time"/>
    <x v="7"/>
    <x v="7"/>
    <x v="1"/>
    <n v="1"/>
  </r>
  <r>
    <x v="27"/>
    <x v="11"/>
    <x v="1"/>
    <s v="Sworn"/>
    <x v="3"/>
    <x v="1"/>
    <x v="4"/>
    <x v="0"/>
    <s v="Hispanic"/>
    <x v="1"/>
    <s v="Full-Time"/>
    <x v="7"/>
    <x v="7"/>
    <x v="1"/>
    <n v="4"/>
  </r>
  <r>
    <x v="28"/>
    <x v="1"/>
    <x v="1"/>
    <s v="Miscellaneous"/>
    <x v="1"/>
    <x v="1"/>
    <x v="1"/>
    <x v="1"/>
    <s v="Hispanic"/>
    <x v="1"/>
    <s v="Full-Time"/>
    <x v="3"/>
    <x v="3"/>
    <x v="1"/>
    <n v="2"/>
  </r>
  <r>
    <x v="27"/>
    <x v="11"/>
    <x v="1"/>
    <s v="Classified"/>
    <x v="1"/>
    <x v="1"/>
    <x v="1"/>
    <x v="1"/>
    <s v="White"/>
    <x v="1"/>
    <s v="Full-Time"/>
    <x v="13"/>
    <x v="13"/>
    <x v="0"/>
    <n v="2"/>
  </r>
  <r>
    <x v="29"/>
    <x v="4"/>
    <x v="3"/>
    <s v="Miscellaneous"/>
    <x v="1"/>
    <x v="1"/>
    <x v="1"/>
    <x v="1"/>
    <s v="Black"/>
    <x v="1"/>
    <s v="Full-Time"/>
    <x v="12"/>
    <x v="12"/>
    <x v="1"/>
    <n v="2"/>
  </r>
  <r>
    <x v="30"/>
    <x v="3"/>
    <x v="0"/>
    <s v="Unclassified"/>
    <x v="1"/>
    <x v="1"/>
    <x v="1"/>
    <x v="0"/>
    <s v="Black"/>
    <x v="1"/>
    <s v="Full-Time"/>
    <x v="1"/>
    <x v="1"/>
    <x v="0"/>
    <n v="2"/>
  </r>
  <r>
    <x v="27"/>
    <x v="11"/>
    <x v="1"/>
    <s v="Classified"/>
    <x v="1"/>
    <x v="1"/>
    <x v="1"/>
    <x v="1"/>
    <s v="Asian"/>
    <x v="1"/>
    <s v="Full-Time"/>
    <x v="14"/>
    <x v="14"/>
    <x v="0"/>
    <n v="2"/>
  </r>
  <r>
    <x v="31"/>
    <x v="4"/>
    <x v="6"/>
    <s v="Unclassified"/>
    <x v="0"/>
    <x v="1"/>
    <x v="0"/>
    <x v="1"/>
    <s v="Hispanic"/>
    <x v="1"/>
    <s v="Full-Time"/>
    <x v="9"/>
    <x v="9"/>
    <x v="0"/>
    <n v="1"/>
  </r>
  <r>
    <x v="32"/>
    <x v="15"/>
    <x v="3"/>
    <s v="Unclassified"/>
    <x v="0"/>
    <x v="3"/>
    <x v="0"/>
    <x v="1"/>
    <s v="Hispanic"/>
    <x v="1"/>
    <s v="Full-Time"/>
    <x v="10"/>
    <x v="10"/>
    <x v="0"/>
    <n v="1"/>
  </r>
  <r>
    <x v="4"/>
    <x v="4"/>
    <x v="3"/>
    <s v="Miscellaneous"/>
    <x v="1"/>
    <x v="3"/>
    <x v="1"/>
    <x v="1"/>
    <s v="Hispanic"/>
    <x v="1"/>
    <s v="Full-Time"/>
    <x v="15"/>
    <x v="15"/>
    <x v="0"/>
    <n v="2"/>
  </r>
  <r>
    <x v="33"/>
    <x v="1"/>
    <x v="1"/>
    <s v="Unclassified"/>
    <x v="0"/>
    <x v="1"/>
    <x v="2"/>
    <x v="1"/>
    <s v="White"/>
    <x v="2"/>
    <s v="Part-Time"/>
    <x v="6"/>
    <x v="6"/>
    <x v="0"/>
    <n v="1"/>
  </r>
  <r>
    <x v="34"/>
    <x v="16"/>
    <x v="0"/>
    <s v="Unclassified"/>
    <x v="2"/>
    <x v="2"/>
    <x v="3"/>
    <x v="0"/>
    <s v="White"/>
    <x v="1"/>
    <s v="Full-Time"/>
    <x v="5"/>
    <x v="5"/>
    <x v="0"/>
    <n v="3"/>
  </r>
  <r>
    <x v="17"/>
    <x v="17"/>
    <x v="4"/>
    <s v="Unclassified"/>
    <x v="0"/>
    <x v="5"/>
    <x v="2"/>
    <x v="0"/>
    <s v="Hispanic"/>
    <x v="2"/>
    <s v="Part-Time"/>
    <x v="1"/>
    <x v="1"/>
    <x v="0"/>
    <n v="1"/>
  </r>
  <r>
    <x v="35"/>
    <x v="16"/>
    <x v="2"/>
    <s v="Unclassified"/>
    <x v="0"/>
    <x v="1"/>
    <x v="2"/>
    <x v="0"/>
    <s v="Hispanic"/>
    <x v="2"/>
    <s v="Part-Time"/>
    <x v="0"/>
    <x v="0"/>
    <x v="0"/>
    <n v="1"/>
  </r>
  <r>
    <x v="36"/>
    <x v="17"/>
    <x v="0"/>
    <s v="Unclassified"/>
    <x v="2"/>
    <x v="2"/>
    <x v="3"/>
    <x v="0"/>
    <s v="Asian"/>
    <x v="1"/>
    <s v="Full-Time"/>
    <x v="0"/>
    <x v="0"/>
    <x v="0"/>
    <n v="3"/>
  </r>
  <r>
    <x v="37"/>
    <x v="18"/>
    <x v="5"/>
    <s v="Unclassified"/>
    <x v="0"/>
    <x v="5"/>
    <x v="0"/>
    <x v="1"/>
    <s v="White"/>
    <x v="1"/>
    <s v="Full-Time"/>
    <x v="2"/>
    <x v="2"/>
    <x v="0"/>
    <n v="1"/>
  </r>
  <r>
    <x v="38"/>
    <x v="12"/>
    <x v="0"/>
    <s v="Miscellaneous"/>
    <x v="2"/>
    <x v="3"/>
    <x v="1"/>
    <x v="0"/>
    <s v="Asian"/>
    <x v="1"/>
    <s v="Full-Time"/>
    <x v="16"/>
    <x v="16"/>
    <x v="1"/>
    <n v="3"/>
  </r>
  <r>
    <x v="17"/>
    <x v="19"/>
    <x v="4"/>
    <s v="Unclassified"/>
    <x v="0"/>
    <x v="5"/>
    <x v="2"/>
    <x v="0"/>
    <s v="Asian"/>
    <x v="2"/>
    <s v="Part-Time"/>
    <x v="17"/>
    <x v="17"/>
    <x v="0"/>
    <n v="1"/>
  </r>
  <r>
    <x v="39"/>
    <x v="11"/>
    <x v="1"/>
    <s v="Unclassified"/>
    <x v="1"/>
    <x v="5"/>
    <x v="0"/>
    <x v="1"/>
    <s v="White"/>
    <x v="1"/>
    <s v="Full-Time"/>
    <x v="5"/>
    <x v="5"/>
    <x v="0"/>
    <n v="2"/>
  </r>
  <r>
    <x v="40"/>
    <x v="5"/>
    <x v="0"/>
    <s v="Miscellaneous"/>
    <x v="2"/>
    <x v="5"/>
    <x v="3"/>
    <x v="0"/>
    <s v="White"/>
    <x v="1"/>
    <s v="Full-Time"/>
    <x v="4"/>
    <x v="4"/>
    <x v="1"/>
    <n v="3"/>
  </r>
  <r>
    <x v="41"/>
    <x v="3"/>
    <x v="4"/>
    <s v="Unclassified"/>
    <x v="0"/>
    <x v="0"/>
    <x v="2"/>
    <x v="1"/>
    <s v="Black"/>
    <x v="2"/>
    <s v="Part-Time"/>
    <x v="14"/>
    <x v="14"/>
    <x v="0"/>
    <n v="1"/>
  </r>
  <r>
    <x v="42"/>
    <x v="6"/>
    <x v="2"/>
    <s v="Miscellaneous"/>
    <x v="0"/>
    <x v="1"/>
    <x v="0"/>
    <x v="0"/>
    <s v="Hispanic"/>
    <x v="1"/>
    <s v="Full-Time"/>
    <x v="18"/>
    <x v="18"/>
    <x v="1"/>
    <n v="1"/>
  </r>
  <r>
    <x v="43"/>
    <x v="7"/>
    <x v="3"/>
    <s v="Unclassified"/>
    <x v="1"/>
    <x v="5"/>
    <x v="0"/>
    <x v="1"/>
    <s v="Hispanic"/>
    <x v="1"/>
    <s v="Full-Time"/>
    <x v="1"/>
    <x v="1"/>
    <x v="0"/>
    <n v="2"/>
  </r>
  <r>
    <x v="44"/>
    <x v="16"/>
    <x v="0"/>
    <s v="Miscellaneous"/>
    <x v="1"/>
    <x v="1"/>
    <x v="1"/>
    <x v="0"/>
    <s v="Hispanic"/>
    <x v="1"/>
    <s v="Full-Time"/>
    <x v="15"/>
    <x v="15"/>
    <x v="0"/>
    <n v="2"/>
  </r>
  <r>
    <x v="45"/>
    <x v="20"/>
    <x v="0"/>
    <s v="Unclassified"/>
    <x v="1"/>
    <x v="1"/>
    <x v="1"/>
    <x v="1"/>
    <s v="Asian"/>
    <x v="1"/>
    <s v="Full-Time"/>
    <x v="14"/>
    <x v="14"/>
    <x v="0"/>
    <n v="2"/>
  </r>
  <r>
    <x v="41"/>
    <x v="3"/>
    <x v="4"/>
    <s v="Miscellaneous"/>
    <x v="0"/>
    <x v="1"/>
    <x v="2"/>
    <x v="0"/>
    <s v="Hispanic"/>
    <x v="2"/>
    <s v="Part-Time"/>
    <x v="11"/>
    <x v="11"/>
    <x v="1"/>
    <n v="1"/>
  </r>
  <r>
    <x v="46"/>
    <x v="3"/>
    <x v="4"/>
    <s v="Miscellaneous"/>
    <x v="0"/>
    <x v="5"/>
    <x v="2"/>
    <x v="1"/>
    <s v="Asian"/>
    <x v="2"/>
    <s v="Part-Time"/>
    <x v="3"/>
    <x v="3"/>
    <x v="1"/>
    <n v="1"/>
  </r>
  <r>
    <x v="46"/>
    <x v="3"/>
    <x v="4"/>
    <s v="Unclassified"/>
    <x v="0"/>
    <x v="2"/>
    <x v="5"/>
    <x v="1"/>
    <s v="Asian"/>
    <x v="2"/>
    <s v="Part-Time"/>
    <x v="14"/>
    <x v="14"/>
    <x v="0"/>
    <n v="1"/>
  </r>
  <r>
    <x v="27"/>
    <x v="11"/>
    <x v="1"/>
    <s v="Sworn"/>
    <x v="3"/>
    <x v="3"/>
    <x v="4"/>
    <x v="1"/>
    <s v="Hispanic"/>
    <x v="1"/>
    <s v="Full-Time"/>
    <x v="12"/>
    <x v="12"/>
    <x v="1"/>
    <n v="4"/>
  </r>
  <r>
    <x v="10"/>
    <x v="4"/>
    <x v="3"/>
    <s v="Unclassified"/>
    <x v="0"/>
    <x v="0"/>
    <x v="2"/>
    <x v="1"/>
    <s v="Black"/>
    <x v="1"/>
    <s v="Full-Time"/>
    <x v="6"/>
    <x v="6"/>
    <x v="0"/>
    <n v="1"/>
  </r>
  <r>
    <x v="47"/>
    <x v="4"/>
    <x v="3"/>
    <s v="Miscellaneous"/>
    <x v="1"/>
    <x v="3"/>
    <x v="1"/>
    <x v="1"/>
    <s v="Black"/>
    <x v="1"/>
    <s v="Full-Time"/>
    <x v="4"/>
    <x v="4"/>
    <x v="1"/>
    <n v="2"/>
  </r>
  <r>
    <x v="48"/>
    <x v="21"/>
    <x v="4"/>
    <s v="Unclassified"/>
    <x v="0"/>
    <x v="0"/>
    <x v="2"/>
    <x v="1"/>
    <s v="White"/>
    <x v="1"/>
    <s v="Full-Time"/>
    <x v="2"/>
    <x v="2"/>
    <x v="0"/>
    <n v="1"/>
  </r>
  <r>
    <x v="49"/>
    <x v="11"/>
    <x v="7"/>
    <s v="Unclassified"/>
    <x v="2"/>
    <x v="1"/>
    <x v="4"/>
    <x v="0"/>
    <s v="White"/>
    <x v="1"/>
    <s v="Full-Time"/>
    <x v="1"/>
    <x v="1"/>
    <x v="0"/>
    <n v="3"/>
  </r>
  <r>
    <x v="50"/>
    <x v="3"/>
    <x v="2"/>
    <s v="Unclassified"/>
    <x v="0"/>
    <x v="5"/>
    <x v="2"/>
    <x v="1"/>
    <s v="Hispanic"/>
    <x v="2"/>
    <s v="Part-Time"/>
    <x v="6"/>
    <x v="6"/>
    <x v="0"/>
    <n v="1"/>
  </r>
  <r>
    <x v="51"/>
    <x v="11"/>
    <x v="4"/>
    <s v="Miscellaneous"/>
    <x v="1"/>
    <x v="1"/>
    <x v="0"/>
    <x v="0"/>
    <s v="Hispanic"/>
    <x v="1"/>
    <s v="Full-Time"/>
    <x v="8"/>
    <x v="8"/>
    <x v="1"/>
    <n v="2"/>
  </r>
  <r>
    <x v="52"/>
    <x v="22"/>
    <x v="0"/>
    <s v="Miscellaneous"/>
    <x v="2"/>
    <x v="1"/>
    <x v="3"/>
    <x v="0"/>
    <s v="Hispanic"/>
    <x v="1"/>
    <s v="Full-Time"/>
    <x v="15"/>
    <x v="15"/>
    <x v="0"/>
    <n v="3"/>
  </r>
  <r>
    <x v="53"/>
    <x v="23"/>
    <x v="8"/>
    <s v="Miscellaneous"/>
    <x v="3"/>
    <x v="3"/>
    <x v="4"/>
    <x v="0"/>
    <s v="White"/>
    <x v="1"/>
    <s v="Full-Time"/>
    <x v="18"/>
    <x v="18"/>
    <x v="1"/>
    <n v="4"/>
  </r>
  <r>
    <x v="54"/>
    <x v="3"/>
    <x v="0"/>
    <s v="Miscellaneous"/>
    <x v="3"/>
    <x v="3"/>
    <x v="4"/>
    <x v="0"/>
    <s v="Hispanic"/>
    <x v="1"/>
    <s v="Full-Time"/>
    <x v="19"/>
    <x v="19"/>
    <x v="1"/>
    <n v="4"/>
  </r>
  <r>
    <x v="55"/>
    <x v="4"/>
    <x v="3"/>
    <s v="Unclassified"/>
    <x v="0"/>
    <x v="3"/>
    <x v="2"/>
    <x v="1"/>
    <s v="Hispanic"/>
    <x v="1"/>
    <s v="Full-Time"/>
    <x v="5"/>
    <x v="5"/>
    <x v="0"/>
    <n v="1"/>
  </r>
  <r>
    <x v="34"/>
    <x v="16"/>
    <x v="0"/>
    <s v="Miscellaneous"/>
    <x v="2"/>
    <x v="1"/>
    <x v="3"/>
    <x v="0"/>
    <s v="White"/>
    <x v="1"/>
    <s v="Full-Time"/>
    <x v="16"/>
    <x v="16"/>
    <x v="1"/>
    <n v="3"/>
  </r>
  <r>
    <x v="56"/>
    <x v="11"/>
    <x v="1"/>
    <s v="Sworn"/>
    <x v="4"/>
    <x v="3"/>
    <x v="4"/>
    <x v="0"/>
    <s v="White"/>
    <x v="1"/>
    <s v="Full-Time"/>
    <x v="3"/>
    <x v="3"/>
    <x v="1"/>
    <n v="5"/>
  </r>
  <r>
    <x v="57"/>
    <x v="18"/>
    <x v="0"/>
    <s v="Unclassified"/>
    <x v="1"/>
    <x v="0"/>
    <x v="1"/>
    <x v="0"/>
    <s v="White"/>
    <x v="1"/>
    <s v="Full-Time"/>
    <x v="6"/>
    <x v="6"/>
    <x v="0"/>
    <n v="2"/>
  </r>
  <r>
    <x v="16"/>
    <x v="11"/>
    <x v="1"/>
    <s v="Unclassified"/>
    <x v="0"/>
    <x v="3"/>
    <x v="0"/>
    <x v="1"/>
    <s v="White"/>
    <x v="1"/>
    <s v="Full-Time"/>
    <x v="0"/>
    <x v="0"/>
    <x v="0"/>
    <n v="1"/>
  </r>
  <r>
    <x v="58"/>
    <x v="3"/>
    <x v="7"/>
    <s v="Unclassified"/>
    <x v="1"/>
    <x v="1"/>
    <x v="1"/>
    <x v="1"/>
    <s v="White"/>
    <x v="1"/>
    <s v="Full-Time"/>
    <x v="14"/>
    <x v="14"/>
    <x v="0"/>
    <n v="2"/>
  </r>
  <r>
    <x v="59"/>
    <x v="11"/>
    <x v="1"/>
    <s v="Sworn"/>
    <x v="5"/>
    <x v="3"/>
    <x v="4"/>
    <x v="1"/>
    <s v="Hispanic"/>
    <x v="1"/>
    <s v="Full-Time"/>
    <x v="8"/>
    <x v="8"/>
    <x v="1"/>
    <n v="6"/>
  </r>
  <r>
    <x v="41"/>
    <x v="3"/>
    <x v="4"/>
    <s v="Miscellaneous"/>
    <x v="0"/>
    <x v="5"/>
    <x v="2"/>
    <x v="0"/>
    <s v="Hispanic"/>
    <x v="2"/>
    <s v="Part-Time"/>
    <x v="12"/>
    <x v="12"/>
    <x v="1"/>
    <n v="1"/>
  </r>
  <r>
    <x v="60"/>
    <x v="15"/>
    <x v="6"/>
    <s v="Unclassified"/>
    <x v="1"/>
    <x v="0"/>
    <x v="1"/>
    <x v="1"/>
    <s v="Asian"/>
    <x v="1"/>
    <s v="Full-Time"/>
    <x v="9"/>
    <x v="9"/>
    <x v="0"/>
    <n v="2"/>
  </r>
  <r>
    <x v="27"/>
    <x v="11"/>
    <x v="1"/>
    <s v="Sworn"/>
    <x v="3"/>
    <x v="3"/>
    <x v="4"/>
    <x v="1"/>
    <s v="Asian"/>
    <x v="1"/>
    <s v="Full-Time"/>
    <x v="3"/>
    <x v="3"/>
    <x v="1"/>
    <n v="4"/>
  </r>
  <r>
    <x v="61"/>
    <x v="4"/>
    <x v="3"/>
    <s v="Unclassified"/>
    <x v="0"/>
    <x v="3"/>
    <x v="0"/>
    <x v="1"/>
    <s v="Hispanic"/>
    <x v="1"/>
    <s v="Full-Time"/>
    <x v="0"/>
    <x v="0"/>
    <x v="0"/>
    <n v="1"/>
  </r>
  <r>
    <x v="62"/>
    <x v="7"/>
    <x v="6"/>
    <s v="Unclassified"/>
    <x v="1"/>
    <x v="0"/>
    <x v="0"/>
    <x v="1"/>
    <s v="Hispanic"/>
    <x v="1"/>
    <s v="Full-Time"/>
    <x v="14"/>
    <x v="14"/>
    <x v="0"/>
    <n v="2"/>
  </r>
  <r>
    <x v="63"/>
    <x v="11"/>
    <x v="1"/>
    <s v="Miscellaneous"/>
    <x v="2"/>
    <x v="0"/>
    <x v="3"/>
    <x v="1"/>
    <s v="Asian"/>
    <x v="2"/>
    <s v="Part-Time"/>
    <x v="12"/>
    <x v="12"/>
    <x v="1"/>
    <n v="3"/>
  </r>
  <r>
    <x v="27"/>
    <x v="11"/>
    <x v="1"/>
    <s v="Classified"/>
    <x v="2"/>
    <x v="1"/>
    <x v="3"/>
    <x v="1"/>
    <s v="Hispanic"/>
    <x v="1"/>
    <s v="Full-Time"/>
    <x v="1"/>
    <x v="1"/>
    <x v="0"/>
    <n v="3"/>
  </r>
  <r>
    <x v="16"/>
    <x v="11"/>
    <x v="1"/>
    <s v="Miscellaneous"/>
    <x v="1"/>
    <x v="5"/>
    <x v="1"/>
    <x v="1"/>
    <s v="Hispanic"/>
    <x v="1"/>
    <s v="Full-Time"/>
    <x v="18"/>
    <x v="18"/>
    <x v="1"/>
    <n v="2"/>
  </r>
  <r>
    <x v="64"/>
    <x v="0"/>
    <x v="8"/>
    <s v="Miscellaneous"/>
    <x v="3"/>
    <x v="3"/>
    <x v="4"/>
    <x v="0"/>
    <s v="Black"/>
    <x v="1"/>
    <s v="Full-Time"/>
    <x v="7"/>
    <x v="7"/>
    <x v="1"/>
    <n v="4"/>
  </r>
  <r>
    <x v="65"/>
    <x v="3"/>
    <x v="2"/>
    <s v="Miscellaneous"/>
    <x v="1"/>
    <x v="3"/>
    <x v="0"/>
    <x v="0"/>
    <s v="White"/>
    <x v="1"/>
    <s v="Full-Time"/>
    <x v="7"/>
    <x v="7"/>
    <x v="1"/>
    <n v="2"/>
  </r>
  <r>
    <x v="21"/>
    <x v="3"/>
    <x v="5"/>
    <s v="Miscellaneous"/>
    <x v="2"/>
    <x v="3"/>
    <x v="4"/>
    <x v="0"/>
    <s v="Hispanic"/>
    <x v="2"/>
    <s v="Part-Time"/>
    <x v="8"/>
    <x v="8"/>
    <x v="1"/>
    <n v="3"/>
  </r>
  <r>
    <x v="1"/>
    <x v="1"/>
    <x v="1"/>
    <s v="Sworn"/>
    <x v="2"/>
    <x v="5"/>
    <x v="3"/>
    <x v="1"/>
    <s v="White"/>
    <x v="1"/>
    <s v="Full-Time"/>
    <x v="11"/>
    <x v="11"/>
    <x v="1"/>
    <n v="3"/>
  </r>
  <r>
    <x v="66"/>
    <x v="5"/>
    <x v="5"/>
    <s v="Miscellaneous"/>
    <x v="2"/>
    <x v="1"/>
    <x v="4"/>
    <x v="1"/>
    <s v="White"/>
    <x v="1"/>
    <s v="Full-Time"/>
    <x v="16"/>
    <x v="16"/>
    <x v="1"/>
    <n v="3"/>
  </r>
  <r>
    <x v="33"/>
    <x v="1"/>
    <x v="1"/>
    <s v="Unclassified"/>
    <x v="0"/>
    <x v="4"/>
    <x v="2"/>
    <x v="1"/>
    <s v="White"/>
    <x v="2"/>
    <s v="Part-Time"/>
    <x v="9"/>
    <x v="9"/>
    <x v="0"/>
    <n v="1"/>
  </r>
  <r>
    <x v="46"/>
    <x v="3"/>
    <x v="4"/>
    <s v="Unclassified"/>
    <x v="0"/>
    <x v="5"/>
    <x v="5"/>
    <x v="1"/>
    <s v="Black"/>
    <x v="2"/>
    <s v="Part-Time"/>
    <x v="10"/>
    <x v="10"/>
    <x v="0"/>
    <n v="1"/>
  </r>
  <r>
    <x v="16"/>
    <x v="11"/>
    <x v="1"/>
    <s v="Unclassified"/>
    <x v="0"/>
    <x v="5"/>
    <x v="0"/>
    <x v="1"/>
    <s v="Hispanic"/>
    <x v="1"/>
    <s v="Full-Time"/>
    <x v="10"/>
    <x v="10"/>
    <x v="0"/>
    <n v="1"/>
  </r>
  <r>
    <x v="1"/>
    <x v="1"/>
    <x v="1"/>
    <s v="Sworn"/>
    <x v="2"/>
    <x v="5"/>
    <x v="3"/>
    <x v="1"/>
    <s v="White"/>
    <x v="1"/>
    <s v="Full-Time"/>
    <x v="18"/>
    <x v="18"/>
    <x v="1"/>
    <n v="3"/>
  </r>
  <r>
    <x v="67"/>
    <x v="2"/>
    <x v="2"/>
    <s v="Miscellaneous"/>
    <x v="1"/>
    <x v="5"/>
    <x v="0"/>
    <x v="0"/>
    <s v="White"/>
    <x v="1"/>
    <s v="Full-Time"/>
    <x v="12"/>
    <x v="12"/>
    <x v="1"/>
    <n v="2"/>
  </r>
  <r>
    <x v="68"/>
    <x v="5"/>
    <x v="0"/>
    <s v="Miscellaneous"/>
    <x v="4"/>
    <x v="0"/>
    <x v="4"/>
    <x v="0"/>
    <s v="Asian"/>
    <x v="1"/>
    <s v="Full-Time"/>
    <x v="3"/>
    <x v="3"/>
    <x v="1"/>
    <n v="5"/>
  </r>
  <r>
    <x v="17"/>
    <x v="11"/>
    <x v="4"/>
    <s v="Unclassified"/>
    <x v="0"/>
    <x v="1"/>
    <x v="2"/>
    <x v="0"/>
    <s v="White"/>
    <x v="2"/>
    <s v="Part-Time"/>
    <x v="0"/>
    <x v="0"/>
    <x v="0"/>
    <n v="1"/>
  </r>
  <r>
    <x v="69"/>
    <x v="7"/>
    <x v="6"/>
    <s v="Unclassified"/>
    <x v="1"/>
    <x v="3"/>
    <x v="1"/>
    <x v="1"/>
    <s v="Hispanic"/>
    <x v="1"/>
    <s v="Full-Time"/>
    <x v="10"/>
    <x v="10"/>
    <x v="0"/>
    <n v="2"/>
  </r>
  <r>
    <x v="70"/>
    <x v="20"/>
    <x v="5"/>
    <s v="Miscellaneous"/>
    <x v="1"/>
    <x v="0"/>
    <x v="1"/>
    <x v="1"/>
    <s v="White"/>
    <x v="1"/>
    <s v="Full-Time"/>
    <x v="18"/>
    <x v="18"/>
    <x v="1"/>
    <n v="2"/>
  </r>
  <r>
    <x v="22"/>
    <x v="4"/>
    <x v="3"/>
    <s v="Unclassified"/>
    <x v="0"/>
    <x v="1"/>
    <x v="2"/>
    <x v="1"/>
    <s v="Black"/>
    <x v="2"/>
    <s v="Part-Time"/>
    <x v="5"/>
    <x v="5"/>
    <x v="0"/>
    <n v="1"/>
  </r>
  <r>
    <x v="15"/>
    <x v="3"/>
    <x v="4"/>
    <s v="Unclassified"/>
    <x v="0"/>
    <x v="5"/>
    <x v="5"/>
    <x v="0"/>
    <s v="Hispanic"/>
    <x v="2"/>
    <s v="Part-Time"/>
    <x v="10"/>
    <x v="10"/>
    <x v="0"/>
    <n v="1"/>
  </r>
  <r>
    <x v="22"/>
    <x v="4"/>
    <x v="3"/>
    <s v="Unclassified"/>
    <x v="0"/>
    <x v="5"/>
    <x v="2"/>
    <x v="1"/>
    <s v="Hispanic"/>
    <x v="2"/>
    <s v="Part-Time"/>
    <x v="14"/>
    <x v="14"/>
    <x v="0"/>
    <n v="1"/>
  </r>
  <r>
    <x v="39"/>
    <x v="11"/>
    <x v="1"/>
    <s v="Miscellaneous"/>
    <x v="1"/>
    <x v="1"/>
    <x v="1"/>
    <x v="1"/>
    <s v="White"/>
    <x v="1"/>
    <s v="Full-Time"/>
    <x v="3"/>
    <x v="3"/>
    <x v="1"/>
    <n v="2"/>
  </r>
  <r>
    <x v="68"/>
    <x v="6"/>
    <x v="0"/>
    <s v="Miscellaneous"/>
    <x v="4"/>
    <x v="3"/>
    <x v="4"/>
    <x v="1"/>
    <s v="Asian"/>
    <x v="1"/>
    <s v="Full-Time"/>
    <x v="19"/>
    <x v="19"/>
    <x v="1"/>
    <n v="5"/>
  </r>
  <r>
    <x v="71"/>
    <x v="12"/>
    <x v="3"/>
    <s v="Miscellaneous"/>
    <x v="2"/>
    <x v="2"/>
    <x v="1"/>
    <x v="1"/>
    <s v="White"/>
    <x v="1"/>
    <s v="Full-Time"/>
    <x v="3"/>
    <x v="3"/>
    <x v="1"/>
    <n v="3"/>
  </r>
  <r>
    <x v="72"/>
    <x v="9"/>
    <x v="0"/>
    <s v="Unclassified"/>
    <x v="1"/>
    <x v="3"/>
    <x v="1"/>
    <x v="0"/>
    <s v="Asian"/>
    <x v="1"/>
    <s v="Full-Time"/>
    <x v="14"/>
    <x v="14"/>
    <x v="0"/>
    <n v="2"/>
  </r>
  <r>
    <x v="46"/>
    <x v="3"/>
    <x v="4"/>
    <s v="Miscellaneous"/>
    <x v="0"/>
    <x v="5"/>
    <x v="2"/>
    <x v="1"/>
    <s v="Asian"/>
    <x v="2"/>
    <s v="Part-Time"/>
    <x v="7"/>
    <x v="7"/>
    <x v="1"/>
    <n v="1"/>
  </r>
  <r>
    <x v="73"/>
    <x v="11"/>
    <x v="1"/>
    <s v="Unclassified"/>
    <x v="0"/>
    <x v="3"/>
    <x v="0"/>
    <x v="1"/>
    <s v="Black"/>
    <x v="1"/>
    <s v="Full-Time"/>
    <x v="1"/>
    <x v="1"/>
    <x v="0"/>
    <n v="1"/>
  </r>
  <r>
    <x v="16"/>
    <x v="11"/>
    <x v="1"/>
    <s v="Miscellaneous"/>
    <x v="1"/>
    <x v="3"/>
    <x v="1"/>
    <x v="1"/>
    <s v="White"/>
    <x v="1"/>
    <s v="Full-Time"/>
    <x v="11"/>
    <x v="11"/>
    <x v="1"/>
    <n v="2"/>
  </r>
  <r>
    <x v="21"/>
    <x v="3"/>
    <x v="5"/>
    <s v="Unclassified"/>
    <x v="2"/>
    <x v="2"/>
    <x v="3"/>
    <x v="1"/>
    <s v="White"/>
    <x v="2"/>
    <s v="Part-Time"/>
    <x v="9"/>
    <x v="9"/>
    <x v="0"/>
    <n v="3"/>
  </r>
  <r>
    <x v="74"/>
    <x v="5"/>
    <x v="8"/>
    <s v="Miscellaneous"/>
    <x v="5"/>
    <x v="0"/>
    <x v="4"/>
    <x v="1"/>
    <s v="White"/>
    <x v="1"/>
    <s v="Full-Time"/>
    <x v="19"/>
    <x v="19"/>
    <x v="1"/>
    <n v="6"/>
  </r>
  <r>
    <x v="75"/>
    <x v="4"/>
    <x v="1"/>
    <s v="Miscellaneous"/>
    <x v="0"/>
    <x v="5"/>
    <x v="2"/>
    <x v="1"/>
    <s v="Black"/>
    <x v="1"/>
    <s v="Full-Time"/>
    <x v="16"/>
    <x v="16"/>
    <x v="1"/>
    <n v="1"/>
  </r>
  <r>
    <x v="19"/>
    <x v="11"/>
    <x v="0"/>
    <s v="Miscellaneous"/>
    <x v="1"/>
    <x v="3"/>
    <x v="1"/>
    <x v="0"/>
    <s v="White"/>
    <x v="1"/>
    <s v="Full-Time"/>
    <x v="16"/>
    <x v="16"/>
    <x v="1"/>
    <n v="2"/>
  </r>
  <r>
    <x v="76"/>
    <x v="1"/>
    <x v="1"/>
    <s v="Classified"/>
    <x v="1"/>
    <x v="3"/>
    <x v="1"/>
    <x v="1"/>
    <s v="Hispanic"/>
    <x v="1"/>
    <s v="Full-Time"/>
    <x v="6"/>
    <x v="6"/>
    <x v="0"/>
    <n v="2"/>
  </r>
  <r>
    <x v="77"/>
    <x v="5"/>
    <x v="2"/>
    <s v="Unclassified"/>
    <x v="0"/>
    <x v="3"/>
    <x v="0"/>
    <x v="1"/>
    <s v="Hispanic"/>
    <x v="1"/>
    <s v="Full-Time"/>
    <x v="17"/>
    <x v="17"/>
    <x v="0"/>
    <n v="1"/>
  </r>
  <r>
    <x v="78"/>
    <x v="11"/>
    <x v="8"/>
    <s v="Sworn"/>
    <x v="5"/>
    <x v="0"/>
    <x v="4"/>
    <x v="1"/>
    <s v="Hispanic"/>
    <x v="1"/>
    <s v="Full-Time"/>
    <x v="16"/>
    <x v="16"/>
    <x v="1"/>
    <n v="6"/>
  </r>
  <r>
    <x v="68"/>
    <x v="5"/>
    <x v="0"/>
    <s v="Unclassified"/>
    <x v="3"/>
    <x v="0"/>
    <x v="4"/>
    <x v="1"/>
    <s v="White"/>
    <x v="1"/>
    <s v="Full-Time"/>
    <x v="17"/>
    <x v="17"/>
    <x v="0"/>
    <n v="4"/>
  </r>
  <r>
    <x v="79"/>
    <x v="20"/>
    <x v="0"/>
    <s v="Miscellaneous"/>
    <x v="2"/>
    <x v="5"/>
    <x v="1"/>
    <x v="0"/>
    <s v="Hispanic"/>
    <x v="2"/>
    <s v="Part-Time"/>
    <x v="19"/>
    <x v="19"/>
    <x v="1"/>
    <n v="3"/>
  </r>
  <r>
    <x v="6"/>
    <x v="6"/>
    <x v="0"/>
    <s v="Miscellaneous"/>
    <x v="3"/>
    <x v="3"/>
    <x v="4"/>
    <x v="0"/>
    <s v="Asian"/>
    <x v="1"/>
    <s v="Full-Time"/>
    <x v="8"/>
    <x v="8"/>
    <x v="1"/>
    <n v="4"/>
  </r>
  <r>
    <x v="15"/>
    <x v="3"/>
    <x v="4"/>
    <s v="Unclassified"/>
    <x v="0"/>
    <x v="5"/>
    <x v="5"/>
    <x v="1"/>
    <s v="Hispanic"/>
    <x v="2"/>
    <s v="Part-Time"/>
    <x v="13"/>
    <x v="13"/>
    <x v="0"/>
    <n v="1"/>
  </r>
  <r>
    <x v="80"/>
    <x v="3"/>
    <x v="6"/>
    <s v="Miscellaneous"/>
    <x v="1"/>
    <x v="1"/>
    <x v="1"/>
    <x v="1"/>
    <s v="Black"/>
    <x v="1"/>
    <s v="Full-Time"/>
    <x v="19"/>
    <x v="19"/>
    <x v="1"/>
    <n v="2"/>
  </r>
  <r>
    <x v="81"/>
    <x v="4"/>
    <x v="0"/>
    <s v="Miscellaneous"/>
    <x v="4"/>
    <x v="1"/>
    <x v="4"/>
    <x v="1"/>
    <s v="White"/>
    <x v="1"/>
    <s v="Full-Time"/>
    <x v="8"/>
    <x v="8"/>
    <x v="1"/>
    <n v="5"/>
  </r>
  <r>
    <x v="27"/>
    <x v="11"/>
    <x v="1"/>
    <s v="Sworn"/>
    <x v="3"/>
    <x v="1"/>
    <x v="4"/>
    <x v="1"/>
    <s v="Hispanic"/>
    <x v="1"/>
    <s v="Full-Time"/>
    <x v="19"/>
    <x v="19"/>
    <x v="1"/>
    <n v="4"/>
  </r>
  <r>
    <x v="15"/>
    <x v="3"/>
    <x v="4"/>
    <s v="Unclassified"/>
    <x v="0"/>
    <x v="4"/>
    <x v="5"/>
    <x v="0"/>
    <s v="Black"/>
    <x v="2"/>
    <s v="Part-Time"/>
    <x v="6"/>
    <x v="6"/>
    <x v="0"/>
    <n v="1"/>
  </r>
  <r>
    <x v="27"/>
    <x v="11"/>
    <x v="1"/>
    <s v="Classified"/>
    <x v="2"/>
    <x v="3"/>
    <x v="3"/>
    <x v="1"/>
    <s v="Asian"/>
    <x v="1"/>
    <s v="Full-Time"/>
    <x v="5"/>
    <x v="5"/>
    <x v="0"/>
    <n v="3"/>
  </r>
  <r>
    <x v="8"/>
    <x v="3"/>
    <x v="4"/>
    <s v="Miscellaneous"/>
    <x v="0"/>
    <x v="5"/>
    <x v="2"/>
    <x v="0"/>
    <s v="Hispanic"/>
    <x v="2"/>
    <s v="Part-Time"/>
    <x v="16"/>
    <x v="16"/>
    <x v="1"/>
    <n v="1"/>
  </r>
  <r>
    <x v="56"/>
    <x v="11"/>
    <x v="1"/>
    <s v="Sworn"/>
    <x v="4"/>
    <x v="3"/>
    <x v="4"/>
    <x v="1"/>
    <s v="White"/>
    <x v="1"/>
    <s v="Full-Time"/>
    <x v="11"/>
    <x v="11"/>
    <x v="1"/>
    <n v="5"/>
  </r>
  <r>
    <x v="82"/>
    <x v="4"/>
    <x v="2"/>
    <s v="Unclassified"/>
    <x v="0"/>
    <x v="2"/>
    <x v="2"/>
    <x v="0"/>
    <s v="White"/>
    <x v="1"/>
    <s v="Full-Time"/>
    <x v="14"/>
    <x v="14"/>
    <x v="0"/>
    <n v="1"/>
  </r>
  <r>
    <x v="72"/>
    <x v="4"/>
    <x v="0"/>
    <s v="Unclassified"/>
    <x v="1"/>
    <x v="1"/>
    <x v="1"/>
    <x v="0"/>
    <s v="Asian"/>
    <x v="1"/>
    <s v="Full-Time"/>
    <x v="2"/>
    <x v="2"/>
    <x v="0"/>
    <n v="2"/>
  </r>
  <r>
    <x v="19"/>
    <x v="21"/>
    <x v="0"/>
    <s v="Unclassified"/>
    <x v="1"/>
    <x v="0"/>
    <x v="1"/>
    <x v="0"/>
    <s v="White"/>
    <x v="1"/>
    <s v="Full-Time"/>
    <x v="0"/>
    <x v="0"/>
    <x v="0"/>
    <n v="2"/>
  </r>
  <r>
    <x v="27"/>
    <x v="11"/>
    <x v="1"/>
    <s v="Sworn"/>
    <x v="3"/>
    <x v="3"/>
    <x v="4"/>
    <x v="1"/>
    <s v="White"/>
    <x v="1"/>
    <s v="Full-Time"/>
    <x v="19"/>
    <x v="19"/>
    <x v="1"/>
    <n v="4"/>
  </r>
  <r>
    <x v="1"/>
    <x v="1"/>
    <x v="1"/>
    <s v="Sworn"/>
    <x v="2"/>
    <x v="1"/>
    <x v="3"/>
    <x v="1"/>
    <s v="White"/>
    <x v="1"/>
    <s v="Full-Time"/>
    <x v="15"/>
    <x v="15"/>
    <x v="0"/>
    <n v="3"/>
  </r>
  <r>
    <x v="21"/>
    <x v="3"/>
    <x v="5"/>
    <s v="Miscellaneous"/>
    <x v="2"/>
    <x v="2"/>
    <x v="4"/>
    <x v="0"/>
    <s v="White"/>
    <x v="2"/>
    <s v="Part-Time"/>
    <x v="12"/>
    <x v="12"/>
    <x v="1"/>
    <n v="3"/>
  </r>
  <r>
    <x v="57"/>
    <x v="18"/>
    <x v="0"/>
    <s v="Unclassified"/>
    <x v="1"/>
    <x v="1"/>
    <x v="1"/>
    <x v="1"/>
    <s v="Asian"/>
    <x v="1"/>
    <s v="Full-Time"/>
    <x v="2"/>
    <x v="2"/>
    <x v="0"/>
    <n v="2"/>
  </r>
  <r>
    <x v="83"/>
    <x v="9"/>
    <x v="2"/>
    <s v="Miscellaneous"/>
    <x v="0"/>
    <x v="5"/>
    <x v="0"/>
    <x v="0"/>
    <s v="White"/>
    <x v="1"/>
    <s v="Full-Time"/>
    <x v="11"/>
    <x v="11"/>
    <x v="1"/>
    <n v="1"/>
  </r>
  <r>
    <x v="84"/>
    <x v="10"/>
    <x v="8"/>
    <s v="Miscellaneous"/>
    <x v="3"/>
    <x v="3"/>
    <x v="4"/>
    <x v="0"/>
    <s v="Asian"/>
    <x v="1"/>
    <s v="Full-Time"/>
    <x v="3"/>
    <x v="3"/>
    <x v="1"/>
    <n v="4"/>
  </r>
  <r>
    <x v="85"/>
    <x v="18"/>
    <x v="5"/>
    <s v="Miscellaneous"/>
    <x v="1"/>
    <x v="1"/>
    <x v="0"/>
    <x v="0"/>
    <s v="Black"/>
    <x v="1"/>
    <s v="Full-Time"/>
    <x v="11"/>
    <x v="11"/>
    <x v="1"/>
    <n v="2"/>
  </r>
  <r>
    <x v="86"/>
    <x v="24"/>
    <x v="4"/>
    <s v="Miscellaneous"/>
    <x v="1"/>
    <x v="5"/>
    <x v="1"/>
    <x v="0"/>
    <s v="Hispanic"/>
    <x v="1"/>
    <s v="Full-Time"/>
    <x v="18"/>
    <x v="18"/>
    <x v="1"/>
    <n v="2"/>
  </r>
  <r>
    <x v="15"/>
    <x v="3"/>
    <x v="4"/>
    <s v="Miscellaneous"/>
    <x v="0"/>
    <x v="5"/>
    <x v="2"/>
    <x v="0"/>
    <s v="Asian"/>
    <x v="2"/>
    <s v="Part-Time"/>
    <x v="12"/>
    <x v="12"/>
    <x v="1"/>
    <n v="1"/>
  </r>
  <r>
    <x v="76"/>
    <x v="1"/>
    <x v="1"/>
    <s v="Classified"/>
    <x v="2"/>
    <x v="0"/>
    <x v="3"/>
    <x v="1"/>
    <s v="White"/>
    <x v="1"/>
    <s v="Full-Time"/>
    <x v="5"/>
    <x v="5"/>
    <x v="0"/>
    <n v="3"/>
  </r>
  <r>
    <x v="33"/>
    <x v="1"/>
    <x v="1"/>
    <s v="Unclassified"/>
    <x v="0"/>
    <x v="1"/>
    <x v="0"/>
    <x v="1"/>
    <s v="Hispanic"/>
    <x v="2"/>
    <s v="Part-Time"/>
    <x v="5"/>
    <x v="5"/>
    <x v="0"/>
    <n v="1"/>
  </r>
  <r>
    <x v="1"/>
    <x v="1"/>
    <x v="1"/>
    <s v="Classified"/>
    <x v="1"/>
    <x v="0"/>
    <x v="1"/>
    <x v="1"/>
    <s v="White"/>
    <x v="1"/>
    <s v="Full-Time"/>
    <x v="2"/>
    <x v="2"/>
    <x v="0"/>
    <n v="2"/>
  </r>
  <r>
    <x v="87"/>
    <x v="20"/>
    <x v="0"/>
    <s v="Miscellaneous"/>
    <x v="2"/>
    <x v="0"/>
    <x v="4"/>
    <x v="0"/>
    <s v="Hispanic"/>
    <x v="2"/>
    <s v="Part-Time"/>
    <x v="7"/>
    <x v="7"/>
    <x v="1"/>
    <n v="3"/>
  </r>
  <r>
    <x v="88"/>
    <x v="21"/>
    <x v="6"/>
    <s v="Unclassified"/>
    <x v="2"/>
    <x v="2"/>
    <x v="3"/>
    <x v="1"/>
    <s v="White"/>
    <x v="1"/>
    <s v="Full-Time"/>
    <x v="5"/>
    <x v="5"/>
    <x v="0"/>
    <n v="3"/>
  </r>
  <r>
    <x v="15"/>
    <x v="3"/>
    <x v="4"/>
    <s v="Unclassified"/>
    <x v="0"/>
    <x v="5"/>
    <x v="5"/>
    <x v="0"/>
    <s v="White"/>
    <x v="2"/>
    <s v="Part-Time"/>
    <x v="9"/>
    <x v="9"/>
    <x v="0"/>
    <n v="1"/>
  </r>
  <r>
    <x v="76"/>
    <x v="1"/>
    <x v="1"/>
    <s v="Sworn"/>
    <x v="3"/>
    <x v="0"/>
    <x v="4"/>
    <x v="1"/>
    <s v="White"/>
    <x v="1"/>
    <s v="Full-Time"/>
    <x v="19"/>
    <x v="19"/>
    <x v="1"/>
    <n v="4"/>
  </r>
  <r>
    <x v="89"/>
    <x v="4"/>
    <x v="1"/>
    <s v="Unclassified"/>
    <x v="0"/>
    <x v="0"/>
    <x v="0"/>
    <x v="0"/>
    <s v="White"/>
    <x v="1"/>
    <s v="Full-Time"/>
    <x v="0"/>
    <x v="0"/>
    <x v="0"/>
    <n v="1"/>
  </r>
  <r>
    <x v="90"/>
    <x v="11"/>
    <x v="5"/>
    <s v="Miscellaneous"/>
    <x v="3"/>
    <x v="3"/>
    <x v="4"/>
    <x v="0"/>
    <s v="White"/>
    <x v="1"/>
    <s v="Full-Time"/>
    <x v="16"/>
    <x v="16"/>
    <x v="1"/>
    <n v="4"/>
  </r>
  <r>
    <x v="16"/>
    <x v="11"/>
    <x v="1"/>
    <s v="Miscellaneous"/>
    <x v="0"/>
    <x v="1"/>
    <x v="0"/>
    <x v="1"/>
    <s v="Hispanic"/>
    <x v="1"/>
    <s v="Full-Time"/>
    <x v="18"/>
    <x v="18"/>
    <x v="1"/>
    <n v="1"/>
  </r>
  <r>
    <x v="91"/>
    <x v="5"/>
    <x v="0"/>
    <s v="Miscellaneous"/>
    <x v="5"/>
    <x v="2"/>
    <x v="4"/>
    <x v="0"/>
    <s v="Asian"/>
    <x v="1"/>
    <s v="Full-Time"/>
    <x v="3"/>
    <x v="3"/>
    <x v="1"/>
    <n v="6"/>
  </r>
  <r>
    <x v="92"/>
    <x v="4"/>
    <x v="0"/>
    <s v="Unclassified"/>
    <x v="2"/>
    <x v="3"/>
    <x v="3"/>
    <x v="1"/>
    <s v="Hispanic"/>
    <x v="1"/>
    <s v="Full-Time"/>
    <x v="5"/>
    <x v="5"/>
    <x v="0"/>
    <n v="3"/>
  </r>
  <r>
    <x v="27"/>
    <x v="11"/>
    <x v="1"/>
    <s v="Classified"/>
    <x v="2"/>
    <x v="0"/>
    <x v="3"/>
    <x v="1"/>
    <s v="Hispanic"/>
    <x v="1"/>
    <s v="Full-Time"/>
    <x v="2"/>
    <x v="2"/>
    <x v="0"/>
    <n v="3"/>
  </r>
  <r>
    <x v="93"/>
    <x v="3"/>
    <x v="8"/>
    <s v="Miscellaneous"/>
    <x v="3"/>
    <x v="3"/>
    <x v="4"/>
    <x v="0"/>
    <s v="Black"/>
    <x v="1"/>
    <s v="Full-Time"/>
    <x v="18"/>
    <x v="18"/>
    <x v="1"/>
    <n v="4"/>
  </r>
  <r>
    <x v="27"/>
    <x v="11"/>
    <x v="1"/>
    <s v="Classified"/>
    <x v="2"/>
    <x v="3"/>
    <x v="3"/>
    <x v="1"/>
    <s v="White"/>
    <x v="1"/>
    <s v="Full-Time"/>
    <x v="5"/>
    <x v="5"/>
    <x v="0"/>
    <n v="3"/>
  </r>
  <r>
    <x v="8"/>
    <x v="3"/>
    <x v="4"/>
    <s v="Unclassified"/>
    <x v="0"/>
    <x v="2"/>
    <x v="5"/>
    <x v="0"/>
    <s v="White"/>
    <x v="2"/>
    <s v="Part-Time"/>
    <x v="2"/>
    <x v="2"/>
    <x v="0"/>
    <n v="1"/>
  </r>
  <r>
    <x v="33"/>
    <x v="1"/>
    <x v="1"/>
    <s v="Unclassified"/>
    <x v="0"/>
    <x v="1"/>
    <x v="2"/>
    <x v="1"/>
    <s v="Hispanic"/>
    <x v="2"/>
    <s v="Part-Time"/>
    <x v="1"/>
    <x v="1"/>
    <x v="0"/>
    <n v="1"/>
  </r>
  <r>
    <x v="10"/>
    <x v="5"/>
    <x v="3"/>
    <s v="Miscellaneous"/>
    <x v="0"/>
    <x v="0"/>
    <x v="0"/>
    <x v="1"/>
    <s v="Hispanic"/>
    <x v="1"/>
    <s v="Full-Time"/>
    <x v="7"/>
    <x v="7"/>
    <x v="1"/>
    <n v="1"/>
  </r>
  <r>
    <x v="27"/>
    <x v="11"/>
    <x v="1"/>
    <s v="Sworn"/>
    <x v="3"/>
    <x v="0"/>
    <x v="4"/>
    <x v="0"/>
    <s v="Hispanic"/>
    <x v="1"/>
    <s v="Full-Time"/>
    <x v="3"/>
    <x v="3"/>
    <x v="1"/>
    <n v="4"/>
  </r>
  <r>
    <x v="94"/>
    <x v="10"/>
    <x v="2"/>
    <s v="Unclassified"/>
    <x v="0"/>
    <x v="4"/>
    <x v="2"/>
    <x v="1"/>
    <s v="White"/>
    <x v="2"/>
    <s v="Part-Time"/>
    <x v="1"/>
    <x v="1"/>
    <x v="0"/>
    <n v="1"/>
  </r>
  <r>
    <x v="89"/>
    <x v="4"/>
    <x v="1"/>
    <s v="Unclassified"/>
    <x v="0"/>
    <x v="1"/>
    <x v="0"/>
    <x v="0"/>
    <s v="White"/>
    <x v="1"/>
    <s v="Full-Time"/>
    <x v="17"/>
    <x v="17"/>
    <x v="0"/>
    <n v="1"/>
  </r>
  <r>
    <x v="95"/>
    <x v="4"/>
    <x v="0"/>
    <s v="Miscellaneous"/>
    <x v="3"/>
    <x v="1"/>
    <x v="4"/>
    <x v="1"/>
    <s v="Asian"/>
    <x v="1"/>
    <s v="Full-Time"/>
    <x v="12"/>
    <x v="12"/>
    <x v="1"/>
    <n v="4"/>
  </r>
  <r>
    <x v="27"/>
    <x v="11"/>
    <x v="1"/>
    <s v="Classified"/>
    <x v="1"/>
    <x v="5"/>
    <x v="1"/>
    <x v="1"/>
    <s v="White"/>
    <x v="1"/>
    <s v="Full-Time"/>
    <x v="0"/>
    <x v="0"/>
    <x v="0"/>
    <n v="2"/>
  </r>
  <r>
    <x v="56"/>
    <x v="11"/>
    <x v="1"/>
    <s v="Classified"/>
    <x v="2"/>
    <x v="3"/>
    <x v="3"/>
    <x v="1"/>
    <s v="White"/>
    <x v="1"/>
    <s v="Full-Time"/>
    <x v="9"/>
    <x v="9"/>
    <x v="0"/>
    <n v="3"/>
  </r>
  <r>
    <x v="96"/>
    <x v="20"/>
    <x v="8"/>
    <s v="Miscellaneous"/>
    <x v="4"/>
    <x v="3"/>
    <x v="4"/>
    <x v="0"/>
    <s v="White"/>
    <x v="1"/>
    <s v="Full-Time"/>
    <x v="19"/>
    <x v="19"/>
    <x v="1"/>
    <n v="5"/>
  </r>
  <r>
    <x v="17"/>
    <x v="10"/>
    <x v="4"/>
    <s v="Unclassified"/>
    <x v="0"/>
    <x v="5"/>
    <x v="2"/>
    <x v="0"/>
    <s v="Hispanic"/>
    <x v="0"/>
    <s v="Part-Time"/>
    <x v="0"/>
    <x v="0"/>
    <x v="0"/>
    <n v="1"/>
  </r>
  <r>
    <x v="27"/>
    <x v="11"/>
    <x v="1"/>
    <s v="Classified"/>
    <x v="2"/>
    <x v="1"/>
    <x v="3"/>
    <x v="1"/>
    <s v="Asian"/>
    <x v="1"/>
    <s v="Full-Time"/>
    <x v="1"/>
    <x v="1"/>
    <x v="0"/>
    <n v="3"/>
  </r>
  <r>
    <x v="41"/>
    <x v="3"/>
    <x v="4"/>
    <s v="Miscellaneous"/>
    <x v="0"/>
    <x v="5"/>
    <x v="2"/>
    <x v="0"/>
    <s v="Hispanic"/>
    <x v="2"/>
    <s v="Part-Time"/>
    <x v="8"/>
    <x v="8"/>
    <x v="1"/>
    <n v="1"/>
  </r>
  <r>
    <x v="27"/>
    <x v="11"/>
    <x v="1"/>
    <s v="Classified"/>
    <x v="1"/>
    <x v="1"/>
    <x v="1"/>
    <x v="1"/>
    <s v="White"/>
    <x v="1"/>
    <s v="Full-Time"/>
    <x v="6"/>
    <x v="6"/>
    <x v="0"/>
    <n v="2"/>
  </r>
  <r>
    <x v="97"/>
    <x v="14"/>
    <x v="8"/>
    <s v="Miscellaneous"/>
    <x v="5"/>
    <x v="2"/>
    <x v="4"/>
    <x v="1"/>
    <s v="White"/>
    <x v="1"/>
    <s v="Full-Time"/>
    <x v="7"/>
    <x v="7"/>
    <x v="1"/>
    <n v="6"/>
  </r>
  <r>
    <x v="98"/>
    <x v="10"/>
    <x v="0"/>
    <s v="Unclassified"/>
    <x v="1"/>
    <x v="3"/>
    <x v="0"/>
    <x v="0"/>
    <s v="Black"/>
    <x v="1"/>
    <s v="Full-Time"/>
    <x v="0"/>
    <x v="0"/>
    <x v="0"/>
    <n v="2"/>
  </r>
  <r>
    <x v="27"/>
    <x v="11"/>
    <x v="1"/>
    <s v="Sworn"/>
    <x v="3"/>
    <x v="1"/>
    <x v="4"/>
    <x v="1"/>
    <s v="Hispanic"/>
    <x v="1"/>
    <s v="Full-Time"/>
    <x v="4"/>
    <x v="4"/>
    <x v="1"/>
    <n v="4"/>
  </r>
  <r>
    <x v="73"/>
    <x v="11"/>
    <x v="1"/>
    <s v="Miscellaneous"/>
    <x v="1"/>
    <x v="3"/>
    <x v="1"/>
    <x v="1"/>
    <s v="Hispanic"/>
    <x v="1"/>
    <s v="Full-Time"/>
    <x v="19"/>
    <x v="19"/>
    <x v="1"/>
    <n v="2"/>
  </r>
  <r>
    <x v="1"/>
    <x v="1"/>
    <x v="1"/>
    <s v="Sworn"/>
    <x v="2"/>
    <x v="3"/>
    <x v="3"/>
    <x v="1"/>
    <s v="White"/>
    <x v="1"/>
    <s v="Full-Time"/>
    <x v="18"/>
    <x v="18"/>
    <x v="1"/>
    <n v="3"/>
  </r>
  <r>
    <x v="99"/>
    <x v="9"/>
    <x v="3"/>
    <s v="Unclassified"/>
    <x v="0"/>
    <x v="0"/>
    <x v="2"/>
    <x v="1"/>
    <s v="Hispanic"/>
    <x v="1"/>
    <s v="Full-Time"/>
    <x v="5"/>
    <x v="5"/>
    <x v="0"/>
    <n v="1"/>
  </r>
  <r>
    <x v="71"/>
    <x v="25"/>
    <x v="3"/>
    <s v="Unclassified"/>
    <x v="1"/>
    <x v="3"/>
    <x v="0"/>
    <x v="1"/>
    <s v="Asian"/>
    <x v="1"/>
    <s v="Full-Time"/>
    <x v="1"/>
    <x v="1"/>
    <x v="0"/>
    <n v="2"/>
  </r>
  <r>
    <x v="50"/>
    <x v="24"/>
    <x v="2"/>
    <s v="Unclassified"/>
    <x v="0"/>
    <x v="5"/>
    <x v="2"/>
    <x v="0"/>
    <s v="Asian"/>
    <x v="0"/>
    <s v="Part-Time"/>
    <x v="2"/>
    <x v="2"/>
    <x v="0"/>
    <n v="1"/>
  </r>
  <r>
    <x v="100"/>
    <x v="7"/>
    <x v="3"/>
    <s v="Unclassified"/>
    <x v="0"/>
    <x v="5"/>
    <x v="0"/>
    <x v="0"/>
    <s v="White"/>
    <x v="1"/>
    <s v="Full-Time"/>
    <x v="6"/>
    <x v="6"/>
    <x v="0"/>
    <n v="1"/>
  </r>
  <r>
    <x v="31"/>
    <x v="4"/>
    <x v="6"/>
    <s v="Unclassified"/>
    <x v="0"/>
    <x v="3"/>
    <x v="0"/>
    <x v="1"/>
    <s v="Hispanic"/>
    <x v="1"/>
    <s v="Full-Time"/>
    <x v="6"/>
    <x v="6"/>
    <x v="0"/>
    <n v="1"/>
  </r>
  <r>
    <x v="63"/>
    <x v="11"/>
    <x v="1"/>
    <s v="Miscellaneous"/>
    <x v="2"/>
    <x v="2"/>
    <x v="3"/>
    <x v="1"/>
    <s v="Black"/>
    <x v="2"/>
    <s v="Part-Time"/>
    <x v="16"/>
    <x v="16"/>
    <x v="1"/>
    <n v="3"/>
  </r>
  <r>
    <x v="101"/>
    <x v="20"/>
    <x v="0"/>
    <s v="Miscellaneous"/>
    <x v="3"/>
    <x v="0"/>
    <x v="4"/>
    <x v="1"/>
    <s v="White"/>
    <x v="1"/>
    <s v="Full-Time"/>
    <x v="19"/>
    <x v="19"/>
    <x v="1"/>
    <n v="4"/>
  </r>
  <r>
    <x v="8"/>
    <x v="3"/>
    <x v="4"/>
    <s v="Miscellaneous"/>
    <x v="0"/>
    <x v="6"/>
    <x v="2"/>
    <x v="0"/>
    <s v="Hispanic"/>
    <x v="2"/>
    <s v="Part-Time"/>
    <x v="8"/>
    <x v="8"/>
    <x v="1"/>
    <n v="1"/>
  </r>
  <r>
    <x v="21"/>
    <x v="3"/>
    <x v="5"/>
    <s v="Miscellaneous"/>
    <x v="2"/>
    <x v="2"/>
    <x v="4"/>
    <x v="1"/>
    <s v="Asian"/>
    <x v="2"/>
    <s v="Part-Time"/>
    <x v="4"/>
    <x v="4"/>
    <x v="1"/>
    <n v="3"/>
  </r>
  <r>
    <x v="33"/>
    <x v="1"/>
    <x v="1"/>
    <s v="Unclassified"/>
    <x v="0"/>
    <x v="0"/>
    <x v="2"/>
    <x v="1"/>
    <s v="White"/>
    <x v="2"/>
    <s v="Part-Time"/>
    <x v="13"/>
    <x v="13"/>
    <x v="0"/>
    <n v="1"/>
  </r>
  <r>
    <x v="27"/>
    <x v="11"/>
    <x v="1"/>
    <s v="Sworn"/>
    <x v="2"/>
    <x v="5"/>
    <x v="3"/>
    <x v="1"/>
    <s v="Hispanic"/>
    <x v="1"/>
    <s v="Full-Time"/>
    <x v="8"/>
    <x v="8"/>
    <x v="1"/>
    <n v="3"/>
  </r>
  <r>
    <x v="27"/>
    <x v="11"/>
    <x v="1"/>
    <s v="Classified"/>
    <x v="2"/>
    <x v="1"/>
    <x v="3"/>
    <x v="1"/>
    <s v="White"/>
    <x v="1"/>
    <s v="Full-Time"/>
    <x v="1"/>
    <x v="1"/>
    <x v="0"/>
    <n v="3"/>
  </r>
  <r>
    <x v="27"/>
    <x v="11"/>
    <x v="1"/>
    <s v="Classified"/>
    <x v="2"/>
    <x v="3"/>
    <x v="3"/>
    <x v="1"/>
    <s v="Hispanic"/>
    <x v="1"/>
    <s v="Full-Time"/>
    <x v="5"/>
    <x v="5"/>
    <x v="0"/>
    <n v="3"/>
  </r>
  <r>
    <x v="27"/>
    <x v="11"/>
    <x v="1"/>
    <s v="Sworn"/>
    <x v="3"/>
    <x v="1"/>
    <x v="4"/>
    <x v="1"/>
    <s v="White"/>
    <x v="1"/>
    <s v="Full-Time"/>
    <x v="12"/>
    <x v="12"/>
    <x v="1"/>
    <n v="4"/>
  </r>
  <r>
    <x v="102"/>
    <x v="10"/>
    <x v="2"/>
    <s v="Miscellaneous"/>
    <x v="0"/>
    <x v="1"/>
    <x v="0"/>
    <x v="0"/>
    <s v="Hispanic"/>
    <x v="1"/>
    <s v="Full-Time"/>
    <x v="7"/>
    <x v="7"/>
    <x v="1"/>
    <n v="1"/>
  </r>
  <r>
    <x v="81"/>
    <x v="7"/>
    <x v="0"/>
    <s v="Unclassified"/>
    <x v="2"/>
    <x v="1"/>
    <x v="4"/>
    <x v="0"/>
    <s v="White"/>
    <x v="1"/>
    <s v="Full-Time"/>
    <x v="2"/>
    <x v="2"/>
    <x v="0"/>
    <n v="3"/>
  </r>
  <r>
    <x v="27"/>
    <x v="11"/>
    <x v="1"/>
    <s v="Sworn"/>
    <x v="3"/>
    <x v="0"/>
    <x v="4"/>
    <x v="1"/>
    <s v="White"/>
    <x v="1"/>
    <s v="Full-Time"/>
    <x v="19"/>
    <x v="19"/>
    <x v="1"/>
    <n v="4"/>
  </r>
  <r>
    <x v="100"/>
    <x v="7"/>
    <x v="3"/>
    <s v="Unclassified"/>
    <x v="0"/>
    <x v="1"/>
    <x v="0"/>
    <x v="1"/>
    <s v="Hispanic"/>
    <x v="1"/>
    <s v="Full-Time"/>
    <x v="14"/>
    <x v="14"/>
    <x v="0"/>
    <n v="1"/>
  </r>
  <r>
    <x v="24"/>
    <x v="10"/>
    <x v="2"/>
    <s v="Miscellaneous"/>
    <x v="0"/>
    <x v="5"/>
    <x v="0"/>
    <x v="0"/>
    <s v="Hispanic"/>
    <x v="1"/>
    <s v="Full-Time"/>
    <x v="19"/>
    <x v="19"/>
    <x v="1"/>
    <n v="1"/>
  </r>
  <r>
    <x v="67"/>
    <x v="2"/>
    <x v="2"/>
    <s v="Miscellaneous"/>
    <x v="1"/>
    <x v="5"/>
    <x v="0"/>
    <x v="0"/>
    <s v="White"/>
    <x v="1"/>
    <s v="Full-Time"/>
    <x v="7"/>
    <x v="7"/>
    <x v="1"/>
    <n v="2"/>
  </r>
  <r>
    <x v="99"/>
    <x v="9"/>
    <x v="3"/>
    <s v="Miscellaneous"/>
    <x v="0"/>
    <x v="1"/>
    <x v="2"/>
    <x v="1"/>
    <s v="Hispanic"/>
    <x v="1"/>
    <s v="Full-Time"/>
    <x v="16"/>
    <x v="16"/>
    <x v="1"/>
    <n v="1"/>
  </r>
  <r>
    <x v="103"/>
    <x v="10"/>
    <x v="4"/>
    <s v="Unclassified"/>
    <x v="0"/>
    <x v="0"/>
    <x v="0"/>
    <x v="0"/>
    <s v="Black"/>
    <x v="1"/>
    <s v="Full-Time"/>
    <x v="9"/>
    <x v="9"/>
    <x v="0"/>
    <n v="1"/>
  </r>
  <r>
    <x v="65"/>
    <x v="10"/>
    <x v="2"/>
    <s v="Miscellaneous"/>
    <x v="1"/>
    <x v="0"/>
    <x v="0"/>
    <x v="1"/>
    <s v="Hispanic"/>
    <x v="1"/>
    <s v="Full-Time"/>
    <x v="16"/>
    <x v="16"/>
    <x v="1"/>
    <n v="2"/>
  </r>
  <r>
    <x v="76"/>
    <x v="1"/>
    <x v="1"/>
    <s v="Sworn"/>
    <x v="3"/>
    <x v="3"/>
    <x v="4"/>
    <x v="1"/>
    <s v="White"/>
    <x v="1"/>
    <s v="Full-Time"/>
    <x v="7"/>
    <x v="7"/>
    <x v="1"/>
    <n v="4"/>
  </r>
  <r>
    <x v="104"/>
    <x v="5"/>
    <x v="1"/>
    <s v="Miscellaneous"/>
    <x v="1"/>
    <x v="0"/>
    <x v="1"/>
    <x v="1"/>
    <s v="Asian"/>
    <x v="1"/>
    <s v="Full-Time"/>
    <x v="11"/>
    <x v="11"/>
    <x v="1"/>
    <n v="2"/>
  </r>
  <r>
    <x v="36"/>
    <x v="10"/>
    <x v="0"/>
    <s v="Miscellaneous"/>
    <x v="2"/>
    <x v="0"/>
    <x v="4"/>
    <x v="0"/>
    <s v="Asian"/>
    <x v="1"/>
    <s v="Full-Time"/>
    <x v="11"/>
    <x v="11"/>
    <x v="1"/>
    <n v="3"/>
  </r>
  <r>
    <x v="10"/>
    <x v="4"/>
    <x v="3"/>
    <s v="Miscellaneous"/>
    <x v="0"/>
    <x v="3"/>
    <x v="2"/>
    <x v="1"/>
    <s v="Two+ Races"/>
    <x v="1"/>
    <s v="Full-Time"/>
    <x v="8"/>
    <x v="8"/>
    <x v="1"/>
    <n v="1"/>
  </r>
  <r>
    <x v="56"/>
    <x v="11"/>
    <x v="1"/>
    <s v="Sworn"/>
    <x v="4"/>
    <x v="3"/>
    <x v="4"/>
    <x v="1"/>
    <s v="White"/>
    <x v="1"/>
    <s v="Full-Time"/>
    <x v="19"/>
    <x v="19"/>
    <x v="1"/>
    <n v="5"/>
  </r>
  <r>
    <x v="105"/>
    <x v="6"/>
    <x v="0"/>
    <s v="Miscellaneous"/>
    <x v="3"/>
    <x v="1"/>
    <x v="4"/>
    <x v="0"/>
    <s v="White"/>
    <x v="1"/>
    <s v="Full-Time"/>
    <x v="12"/>
    <x v="12"/>
    <x v="1"/>
    <n v="4"/>
  </r>
  <r>
    <x v="106"/>
    <x v="10"/>
    <x v="2"/>
    <s v="Miscellaneous"/>
    <x v="1"/>
    <x v="2"/>
    <x v="0"/>
    <x v="0"/>
    <s v="Black"/>
    <x v="1"/>
    <s v="Full-Time"/>
    <x v="3"/>
    <x v="3"/>
    <x v="1"/>
    <n v="2"/>
  </r>
  <r>
    <x v="76"/>
    <x v="1"/>
    <x v="1"/>
    <s v="Classified"/>
    <x v="1"/>
    <x v="3"/>
    <x v="1"/>
    <x v="1"/>
    <s v="White"/>
    <x v="1"/>
    <s v="Full-Time"/>
    <x v="6"/>
    <x v="6"/>
    <x v="0"/>
    <n v="2"/>
  </r>
  <r>
    <x v="16"/>
    <x v="11"/>
    <x v="1"/>
    <s v="Miscellaneous"/>
    <x v="1"/>
    <x v="3"/>
    <x v="1"/>
    <x v="1"/>
    <s v="Asian"/>
    <x v="1"/>
    <s v="Full-Time"/>
    <x v="16"/>
    <x v="16"/>
    <x v="1"/>
    <n v="2"/>
  </r>
  <r>
    <x v="107"/>
    <x v="26"/>
    <x v="9"/>
    <m/>
    <x v="6"/>
    <x v="7"/>
    <x v="6"/>
    <x v="2"/>
    <m/>
    <x v="3"/>
    <m/>
    <x v="20"/>
    <x v="20"/>
    <x v="2"/>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2C552D0-96E0-4A90-9CAF-21CE2C809EAB}" name="PivotTable8"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3:B14" firstHeaderRow="1" firstDataRow="1" firstDataCol="1"/>
  <pivotFields count="15">
    <pivotField showAll="0"/>
    <pivotField axis="axisRow" showAll="0" measureFilter="1" sortType="ascending">
      <items count="28">
        <item x="9"/>
        <item x="8"/>
        <item x="24"/>
        <item x="13"/>
        <item x="22"/>
        <item x="19"/>
        <item x="6"/>
        <item x="21"/>
        <item x="2"/>
        <item x="17"/>
        <item x="25"/>
        <item x="18"/>
        <item x="1"/>
        <item x="5"/>
        <item x="10"/>
        <item x="23"/>
        <item x="14"/>
        <item x="0"/>
        <item x="16"/>
        <item x="15"/>
        <item x="3"/>
        <item x="11"/>
        <item x="4"/>
        <item x="20"/>
        <item x="12"/>
        <item x="7"/>
        <item x="26"/>
        <item t="default"/>
      </items>
    </pivotField>
    <pivotField showAll="0">
      <items count="11">
        <item x="2"/>
        <item x="7"/>
        <item x="8"/>
        <item x="4"/>
        <item x="0"/>
        <item x="1"/>
        <item x="3"/>
        <item x="6"/>
        <item x="5"/>
        <item x="9"/>
        <item t="default"/>
      </items>
    </pivotField>
    <pivotField showAll="0"/>
    <pivotField showAll="0"/>
    <pivotField showAll="0">
      <items count="9">
        <item x="6"/>
        <item x="4"/>
        <item x="5"/>
        <item x="1"/>
        <item x="3"/>
        <item x="0"/>
        <item x="2"/>
        <item x="7"/>
        <item t="default"/>
      </items>
    </pivotField>
    <pivotField dataField="1" showAll="0">
      <items count="8">
        <item x="5"/>
        <item x="2"/>
        <item x="0"/>
        <item x="1"/>
        <item x="3"/>
        <item x="4"/>
        <item x="6"/>
        <item t="default"/>
      </items>
    </pivotField>
    <pivotField showAll="0"/>
    <pivotField showAll="0"/>
    <pivotField showAll="0"/>
    <pivotField showAll="0"/>
    <pivotField showAll="0"/>
    <pivotField showAll="0"/>
    <pivotField showAll="0"/>
    <pivotField showAll="0"/>
  </pivotFields>
  <rowFields count="1">
    <field x="1"/>
  </rowFields>
  <rowItems count="11">
    <i>
      <x/>
    </i>
    <i>
      <x v="6"/>
    </i>
    <i>
      <x v="12"/>
    </i>
    <i>
      <x v="13"/>
    </i>
    <i>
      <x v="14"/>
    </i>
    <i>
      <x v="20"/>
    </i>
    <i>
      <x v="21"/>
    </i>
    <i>
      <x v="22"/>
    </i>
    <i>
      <x v="23"/>
    </i>
    <i>
      <x v="25"/>
    </i>
    <i t="grand">
      <x/>
    </i>
  </rowItems>
  <colItems count="1">
    <i/>
  </colItems>
  <dataFields count="1">
    <dataField name="Count of Hourly_Rate_Bracket" fld="6" subtotal="count" baseField="0" baseItem="0"/>
  </dataFields>
  <chartFormats count="3">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8D69E61-D7B9-44D2-B270-43975DC3CC08}" name="PivotTable9"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3:B14" firstHeaderRow="1" firstDataRow="1" firstDataCol="1"/>
  <pivotFields count="15">
    <pivotField showAll="0"/>
    <pivotField showAll="0">
      <items count="28">
        <item x="9"/>
        <item x="8"/>
        <item x="24"/>
        <item x="13"/>
        <item x="22"/>
        <item x="19"/>
        <item x="6"/>
        <item x="21"/>
        <item x="2"/>
        <item x="17"/>
        <item x="25"/>
        <item x="18"/>
        <item x="1"/>
        <item x="5"/>
        <item x="10"/>
        <item x="23"/>
        <item x="14"/>
        <item x="0"/>
        <item x="16"/>
        <item x="15"/>
        <item x="3"/>
        <item x="11"/>
        <item x="4"/>
        <item x="20"/>
        <item x="12"/>
        <item x="7"/>
        <item x="26"/>
        <item t="default"/>
      </items>
    </pivotField>
    <pivotField axis="axisRow" showAll="0" sortType="ascending">
      <items count="11">
        <item n="MULTI" x="9"/>
        <item x="2"/>
        <item x="7"/>
        <item x="8"/>
        <item x="4"/>
        <item x="0"/>
        <item x="1"/>
        <item x="3"/>
        <item x="6"/>
        <item x="5"/>
        <item t="default"/>
      </items>
    </pivotField>
    <pivotField showAll="0"/>
    <pivotField dataField="1" showAll="0">
      <items count="8">
        <item x="0"/>
        <item x="1"/>
        <item x="2"/>
        <item x="3"/>
        <item x="4"/>
        <item x="5"/>
        <item x="6"/>
        <item t="default"/>
      </items>
    </pivotField>
    <pivotField showAll="0"/>
    <pivotField showAll="0"/>
    <pivotField showAll="0"/>
    <pivotField showAll="0"/>
    <pivotField showAll="0"/>
    <pivotField showAll="0"/>
    <pivotField showAll="0"/>
    <pivotField showAll="0"/>
    <pivotField showAll="0"/>
    <pivotField showAll="0"/>
  </pivotFields>
  <rowFields count="1">
    <field x="2"/>
  </rowFields>
  <rowItems count="11">
    <i>
      <x/>
    </i>
    <i>
      <x v="1"/>
    </i>
    <i>
      <x v="2"/>
    </i>
    <i>
      <x v="3"/>
    </i>
    <i>
      <x v="4"/>
    </i>
    <i>
      <x v="5"/>
    </i>
    <i>
      <x v="6"/>
    </i>
    <i>
      <x v="7"/>
    </i>
    <i>
      <x v="8"/>
    </i>
    <i>
      <x v="9"/>
    </i>
    <i t="grand">
      <x/>
    </i>
  </rowItems>
  <colItems count="1">
    <i/>
  </colItems>
  <dataFields count="1">
    <dataField name="Count of Yearly_Salary_Bracket" fld="4" subtotal="count" baseField="0" baseItem="0"/>
  </dataFields>
  <chartFormats count="4">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96F30B4-9EB0-408E-BEA2-2B9DFBC7D9A0}" name="PivotTable10"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B14" firstHeaderRow="1" firstDataRow="1" firstDataCol="1"/>
  <pivotFields count="15">
    <pivotField showAll="0">
      <items count="109">
        <item x="38"/>
        <item x="57"/>
        <item x="83"/>
        <item x="51"/>
        <item x="18"/>
        <item x="72"/>
        <item x="92"/>
        <item x="79"/>
        <item x="17"/>
        <item x="19"/>
        <item x="11"/>
        <item x="101"/>
        <item x="9"/>
        <item x="86"/>
        <item x="81"/>
        <item x="40"/>
        <item x="50"/>
        <item x="82"/>
        <item x="42"/>
        <item x="48"/>
        <item x="7"/>
        <item x="103"/>
        <item x="30"/>
        <item x="60"/>
        <item x="24"/>
        <item x="90"/>
        <item x="53"/>
        <item x="52"/>
        <item x="105"/>
        <item x="74"/>
        <item x="62"/>
        <item x="23"/>
        <item x="95"/>
        <item x="31"/>
        <item x="80"/>
        <item x="20"/>
        <item x="49"/>
        <item x="76"/>
        <item x="28"/>
        <item x="1"/>
        <item x="32"/>
        <item x="71"/>
        <item x="44"/>
        <item x="104"/>
        <item x="102"/>
        <item x="106"/>
        <item x="96"/>
        <item x="26"/>
        <item x="0"/>
        <item x="35"/>
        <item x="37"/>
        <item x="85"/>
        <item x="33"/>
        <item x="99"/>
        <item x="13"/>
        <item x="10"/>
        <item x="3"/>
        <item x="47"/>
        <item x="21"/>
        <item x="75"/>
        <item x="93"/>
        <item x="6"/>
        <item x="78"/>
        <item x="63"/>
        <item x="59"/>
        <item x="27"/>
        <item x="39"/>
        <item x="56"/>
        <item x="5"/>
        <item x="88"/>
        <item x="97"/>
        <item x="14"/>
        <item x="94"/>
        <item x="98"/>
        <item x="67"/>
        <item x="2"/>
        <item x="46"/>
        <item x="8"/>
        <item x="41"/>
        <item x="15"/>
        <item x="55"/>
        <item x="61"/>
        <item x="4"/>
        <item x="22"/>
        <item x="29"/>
        <item x="87"/>
        <item x="65"/>
        <item x="36"/>
        <item x="68"/>
        <item x="34"/>
        <item x="91"/>
        <item x="12"/>
        <item x="73"/>
        <item x="84"/>
        <item x="64"/>
        <item x="89"/>
        <item x="16"/>
        <item x="77"/>
        <item x="58"/>
        <item x="66"/>
        <item x="70"/>
        <item x="45"/>
        <item x="54"/>
        <item x="43"/>
        <item x="100"/>
        <item x="25"/>
        <item x="69"/>
        <item x="107"/>
        <item t="default"/>
      </items>
    </pivotField>
    <pivotField axis="axisRow" showAll="0" measureFilter="1" sortType="descending">
      <items count="28">
        <item x="9"/>
        <item x="8"/>
        <item x="24"/>
        <item x="13"/>
        <item x="22"/>
        <item x="19"/>
        <item x="6"/>
        <item x="21"/>
        <item x="2"/>
        <item x="17"/>
        <item x="25"/>
        <item x="18"/>
        <item x="1"/>
        <item x="5"/>
        <item x="10"/>
        <item x="23"/>
        <item x="14"/>
        <item x="0"/>
        <item x="16"/>
        <item x="15"/>
        <item x="3"/>
        <item x="11"/>
        <item x="4"/>
        <item x="20"/>
        <item x="12"/>
        <item x="7"/>
        <item x="26"/>
        <item t="default"/>
      </items>
      <autoSortScope>
        <pivotArea dataOnly="0" outline="0" fieldPosition="0">
          <references count="1">
            <reference field="4294967294" count="1" selected="0">
              <x v="0"/>
            </reference>
          </references>
        </pivotArea>
      </autoSortScope>
    </pivotField>
    <pivotField showAll="0">
      <items count="11">
        <item x="2"/>
        <item x="7"/>
        <item x="8"/>
        <item x="4"/>
        <item x="0"/>
        <item x="1"/>
        <item x="3"/>
        <item x="6"/>
        <item x="5"/>
        <item x="9"/>
        <item t="default"/>
      </items>
    </pivotField>
    <pivotField showAll="0"/>
    <pivotField showAll="0">
      <items count="8">
        <item x="0"/>
        <item x="1"/>
        <item x="2"/>
        <item x="3"/>
        <item x="4"/>
        <item x="5"/>
        <item x="6"/>
        <item t="default"/>
      </items>
    </pivotField>
    <pivotField dataField="1" showAll="0">
      <items count="9">
        <item x="6"/>
        <item x="4"/>
        <item x="5"/>
        <item x="1"/>
        <item x="3"/>
        <item x="0"/>
        <item x="2"/>
        <item x="7"/>
        <item t="default"/>
      </items>
    </pivotField>
    <pivotField showAll="0">
      <items count="8">
        <item x="5"/>
        <item x="2"/>
        <item x="0"/>
        <item x="1"/>
        <item x="3"/>
        <item x="4"/>
        <item x="6"/>
        <item t="default"/>
      </items>
    </pivotField>
    <pivotField showAll="0">
      <items count="4">
        <item x="0"/>
        <item x="1"/>
        <item x="2"/>
        <item t="default"/>
      </items>
    </pivotField>
    <pivotField showAll="0"/>
    <pivotField showAll="0"/>
    <pivotField showAll="0"/>
    <pivotField showAll="0"/>
    <pivotField showAll="0"/>
    <pivotField showAll="0"/>
    <pivotField showAll="0"/>
  </pivotFields>
  <rowFields count="1">
    <field x="1"/>
  </rowFields>
  <rowItems count="11">
    <i>
      <x v="21"/>
    </i>
    <i>
      <x v="20"/>
    </i>
    <i>
      <x v="22"/>
    </i>
    <i>
      <x v="12"/>
    </i>
    <i>
      <x v="13"/>
    </i>
    <i>
      <x v="14"/>
    </i>
    <i>
      <x v="25"/>
    </i>
    <i>
      <x v="23"/>
    </i>
    <i>
      <x/>
    </i>
    <i>
      <x v="6"/>
    </i>
    <i t="grand">
      <x/>
    </i>
  </rowItems>
  <colItems count="1">
    <i/>
  </colItems>
  <dataFields count="1">
    <dataField name="Count of Age_Bracket" fld="5" subtotal="count"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9E2092D-E088-463E-B1A5-EF2754A01AF1}" name="PivotTable11"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B14" firstHeaderRow="1" firstDataRow="1" firstDataCol="1"/>
  <pivotFields count="15">
    <pivotField showAll="0"/>
    <pivotField showAll="0">
      <items count="28">
        <item x="9"/>
        <item x="8"/>
        <item x="24"/>
        <item x="13"/>
        <item x="22"/>
        <item x="19"/>
        <item x="6"/>
        <item x="21"/>
        <item x="2"/>
        <item x="17"/>
        <item x="25"/>
        <item x="18"/>
        <item x="1"/>
        <item x="5"/>
        <item x="10"/>
        <item x="23"/>
        <item x="14"/>
        <item x="0"/>
        <item x="16"/>
        <item x="15"/>
        <item x="3"/>
        <item x="11"/>
        <item x="4"/>
        <item x="20"/>
        <item x="12"/>
        <item x="7"/>
        <item x="26"/>
        <item t="default"/>
      </items>
    </pivotField>
    <pivotField axis="axisRow" showAll="0" sortType="descending">
      <items count="11">
        <item x="2"/>
        <item x="7"/>
        <item x="8"/>
        <item x="4"/>
        <item x="0"/>
        <item x="1"/>
        <item x="3"/>
        <item x="6"/>
        <item x="5"/>
        <item x="9"/>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items count="5">
        <item x="1"/>
        <item x="2"/>
        <item x="0"/>
        <item x="3"/>
        <item t="default"/>
      </items>
    </pivotField>
    <pivotField showAll="0"/>
    <pivotField showAll="0">
      <items count="22">
        <item x="13"/>
        <item x="14"/>
        <item x="9"/>
        <item x="10"/>
        <item x="6"/>
        <item x="17"/>
        <item x="0"/>
        <item x="5"/>
        <item x="2"/>
        <item x="1"/>
        <item x="19"/>
        <item x="7"/>
        <item x="15"/>
        <item x="8"/>
        <item x="11"/>
        <item x="3"/>
        <item x="4"/>
        <item x="12"/>
        <item x="18"/>
        <item x="16"/>
        <item x="20"/>
        <item t="default"/>
      </items>
    </pivotField>
    <pivotField showAll="0">
      <items count="22">
        <item x="13"/>
        <item x="14"/>
        <item x="9"/>
        <item x="10"/>
        <item x="6"/>
        <item x="17"/>
        <item x="0"/>
        <item x="5"/>
        <item x="2"/>
        <item x="1"/>
        <item x="19"/>
        <item x="7"/>
        <item x="15"/>
        <item x="8"/>
        <item x="11"/>
        <item x="3"/>
        <item x="4"/>
        <item x="12"/>
        <item x="18"/>
        <item x="16"/>
        <item x="20"/>
        <item t="default"/>
      </items>
    </pivotField>
    <pivotField showAll="0">
      <items count="4">
        <item x="1"/>
        <item x="0"/>
        <item x="2"/>
        <item t="default"/>
      </items>
    </pivotField>
    <pivotField dataField="1" showAll="0"/>
  </pivotFields>
  <rowFields count="1">
    <field x="2"/>
  </rowFields>
  <rowItems count="11">
    <i>
      <x v="5"/>
    </i>
    <i>
      <x v="4"/>
    </i>
    <i>
      <x v="2"/>
    </i>
    <i>
      <x v="6"/>
    </i>
    <i>
      <x v="3"/>
    </i>
    <i>
      <x v="8"/>
    </i>
    <i>
      <x/>
    </i>
    <i>
      <x v="7"/>
    </i>
    <i>
      <x v="1"/>
    </i>
    <i>
      <x v="9"/>
    </i>
    <i t="grand">
      <x/>
    </i>
  </rowItems>
  <colItems count="1">
    <i/>
  </colItems>
  <dataFields count="1">
    <dataField name="Sum of YEARLY_SALARY_RANK" fld="14" baseField="0" baseItem="0"/>
  </dataFields>
  <chartFormats count="22">
    <chartFormat chart="0" format="0"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2" count="1" selected="0">
            <x v="5"/>
          </reference>
        </references>
      </pivotArea>
    </chartFormat>
    <chartFormat chart="2" format="9">
      <pivotArea type="data" outline="0" fieldPosition="0">
        <references count="2">
          <reference field="4294967294" count="1" selected="0">
            <x v="0"/>
          </reference>
          <reference field="2" count="1" selected="0">
            <x v="4"/>
          </reference>
        </references>
      </pivotArea>
    </chartFormat>
    <chartFormat chart="2" format="10">
      <pivotArea type="data" outline="0" fieldPosition="0">
        <references count="2">
          <reference field="4294967294" count="1" selected="0">
            <x v="0"/>
          </reference>
          <reference field="2" count="1" selected="0">
            <x v="2"/>
          </reference>
        </references>
      </pivotArea>
    </chartFormat>
    <chartFormat chart="2" format="11">
      <pivotArea type="data" outline="0" fieldPosition="0">
        <references count="2">
          <reference field="4294967294" count="1" selected="0">
            <x v="0"/>
          </reference>
          <reference field="2" count="1" selected="0">
            <x v="6"/>
          </reference>
        </references>
      </pivotArea>
    </chartFormat>
    <chartFormat chart="2" format="12">
      <pivotArea type="data" outline="0" fieldPosition="0">
        <references count="2">
          <reference field="4294967294" count="1" selected="0">
            <x v="0"/>
          </reference>
          <reference field="2" count="1" selected="0">
            <x v="3"/>
          </reference>
        </references>
      </pivotArea>
    </chartFormat>
    <chartFormat chart="0" format="1">
      <pivotArea type="data" outline="0" fieldPosition="0">
        <references count="2">
          <reference field="4294967294" count="1" selected="0">
            <x v="0"/>
          </reference>
          <reference field="2" count="1" selected="0">
            <x v="5"/>
          </reference>
        </references>
      </pivotArea>
    </chartFormat>
    <chartFormat chart="0" format="2">
      <pivotArea type="data" outline="0" fieldPosition="0">
        <references count="2">
          <reference field="4294967294" count="1" selected="0">
            <x v="0"/>
          </reference>
          <reference field="2" count="1" selected="0">
            <x v="4"/>
          </reference>
        </references>
      </pivotArea>
    </chartFormat>
    <chartFormat chart="0" format="3">
      <pivotArea type="data" outline="0" fieldPosition="0">
        <references count="2">
          <reference field="4294967294" count="1" selected="0">
            <x v="0"/>
          </reference>
          <reference field="2" count="1" selected="0">
            <x v="2"/>
          </reference>
        </references>
      </pivotArea>
    </chartFormat>
    <chartFormat chart="0" format="4">
      <pivotArea type="data" outline="0" fieldPosition="0">
        <references count="2">
          <reference field="4294967294" count="1" selected="0">
            <x v="0"/>
          </reference>
          <reference field="2" count="1" selected="0">
            <x v="6"/>
          </reference>
        </references>
      </pivotArea>
    </chartFormat>
    <chartFormat chart="0" format="5">
      <pivotArea type="data" outline="0" fieldPosition="0">
        <references count="2">
          <reference field="4294967294" count="1" selected="0">
            <x v="0"/>
          </reference>
          <reference field="2" count="1" selected="0">
            <x v="3"/>
          </reference>
        </references>
      </pivotArea>
    </chartFormat>
    <chartFormat chart="2" format="13">
      <pivotArea type="data" outline="0" fieldPosition="0">
        <references count="2">
          <reference field="4294967294" count="1" selected="0">
            <x v="0"/>
          </reference>
          <reference field="2" count="1" selected="0">
            <x v="8"/>
          </reference>
        </references>
      </pivotArea>
    </chartFormat>
    <chartFormat chart="2" format="14">
      <pivotArea type="data" outline="0" fieldPosition="0">
        <references count="2">
          <reference field="4294967294" count="1" selected="0">
            <x v="0"/>
          </reference>
          <reference field="2" count="1" selected="0">
            <x v="0"/>
          </reference>
        </references>
      </pivotArea>
    </chartFormat>
    <chartFormat chart="2" format="15">
      <pivotArea type="data" outline="0" fieldPosition="0">
        <references count="2">
          <reference field="4294967294" count="1" selected="0">
            <x v="0"/>
          </reference>
          <reference field="2" count="1" selected="0">
            <x v="7"/>
          </reference>
        </references>
      </pivotArea>
    </chartFormat>
    <chartFormat chart="2" format="16">
      <pivotArea type="data" outline="0" fieldPosition="0">
        <references count="2">
          <reference field="4294967294" count="1" selected="0">
            <x v="0"/>
          </reference>
          <reference field="2" count="1" selected="0">
            <x v="1"/>
          </reference>
        </references>
      </pivotArea>
    </chartFormat>
    <chartFormat chart="2" format="17">
      <pivotArea type="data" outline="0" fieldPosition="0">
        <references count="2">
          <reference field="4294967294" count="1" selected="0">
            <x v="0"/>
          </reference>
          <reference field="2" count="1" selected="0">
            <x v="9"/>
          </reference>
        </references>
      </pivotArea>
    </chartFormat>
    <chartFormat chart="0" format="6">
      <pivotArea type="data" outline="0" fieldPosition="0">
        <references count="2">
          <reference field="4294967294" count="1" selected="0">
            <x v="0"/>
          </reference>
          <reference field="2" count="1" selected="0">
            <x v="8"/>
          </reference>
        </references>
      </pivotArea>
    </chartFormat>
    <chartFormat chart="0" format="7">
      <pivotArea type="data" outline="0" fieldPosition="0">
        <references count="2">
          <reference field="4294967294" count="1" selected="0">
            <x v="0"/>
          </reference>
          <reference field="2" count="1" selected="0">
            <x v="0"/>
          </reference>
        </references>
      </pivotArea>
    </chartFormat>
    <chartFormat chart="0" format="8">
      <pivotArea type="data" outline="0" fieldPosition="0">
        <references count="2">
          <reference field="4294967294" count="1" selected="0">
            <x v="0"/>
          </reference>
          <reference field="2" count="1" selected="0">
            <x v="7"/>
          </reference>
        </references>
      </pivotArea>
    </chartFormat>
    <chartFormat chart="0" format="9">
      <pivotArea type="data" outline="0" fieldPosition="0">
        <references count="2">
          <reference field="4294967294" count="1" selected="0">
            <x v="0"/>
          </reference>
          <reference field="2" count="1" selected="0">
            <x v="1"/>
          </reference>
        </references>
      </pivotArea>
    </chartFormat>
    <chartFormat chart="0" format="10">
      <pivotArea type="data" outline="0" fieldPosition="0">
        <references count="2">
          <reference field="4294967294" count="1" selected="0">
            <x v="0"/>
          </reference>
          <reference field="2"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ADC28814-51C2-43DF-B4C6-096A1B1891CC}" sourceName="Department">
  <pivotTables>
    <pivotTable tabId="5" name="PivotTable11"/>
    <pivotTable tabId="2" name="PivotTable8"/>
    <pivotTable tabId="4" name="PivotTable10"/>
    <pivotTable tabId="3" name="PivotTable9"/>
  </pivotTables>
  <data>
    <tabular pivotCacheId="60053896">
      <items count="27">
        <i x="9" s="1"/>
        <i x="8" s="1"/>
        <i x="24" s="1"/>
        <i x="13" s="1"/>
        <i x="22" s="1"/>
        <i x="19" s="1"/>
        <i x="6" s="1"/>
        <i x="21" s="1"/>
        <i x="2" s="1"/>
        <i x="17" s="1"/>
        <i x="25" s="1"/>
        <i x="18" s="1"/>
        <i x="1" s="1"/>
        <i x="5" s="1"/>
        <i x="10" s="1"/>
        <i x="23" s="1"/>
        <i x="14" s="1"/>
        <i x="0" s="1"/>
        <i x="16" s="1"/>
        <i x="15" s="1"/>
        <i x="3" s="1"/>
        <i x="11" s="1"/>
        <i x="4" s="1"/>
        <i x="20" s="1"/>
        <i x="12" s="1"/>
        <i x="7" s="1"/>
        <i x="26"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A67F1EC1-B757-4EA6-BE55-1E45A4CCEC2A}" sourceName="Category">
  <pivotTables>
    <pivotTable tabId="5" name="PivotTable11"/>
    <pivotTable tabId="2" name="PivotTable8"/>
    <pivotTable tabId="4" name="PivotTable10"/>
    <pivotTable tabId="3" name="PivotTable9"/>
  </pivotTables>
  <data>
    <tabular pivotCacheId="60053896">
      <items count="10">
        <i x="2" s="1"/>
        <i x="7" s="1"/>
        <i x="8" s="1"/>
        <i x="4" s="1"/>
        <i x="0" s="1"/>
        <i x="1" s="1"/>
        <i x="3" s="1"/>
        <i x="6" s="1"/>
        <i x="5" s="1"/>
        <i x="9"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CAB51185-4DD2-4BD8-8ABE-2E4FB0E1C4EE}" cache="Slicer_Department" caption="Department" rowHeight="241300"/>
  <slicer name="Category" xr10:uid="{F729EFC5-D291-4F10-8A6A-8A132F9C25F7}" cache="Slicer_Category" caption="Category"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94295-3417-4277-985C-24C5D10A96E4}">
  <sheetPr codeName="Sheet1"/>
  <dimension ref="A3:B14"/>
  <sheetViews>
    <sheetView topLeftCell="B1" workbookViewId="0">
      <selection activeCell="R8" sqref="R8"/>
    </sheetView>
  </sheetViews>
  <sheetFormatPr defaultRowHeight="15" x14ac:dyDescent="0.25"/>
  <cols>
    <col min="1" max="1" width="25.7109375" bestFit="1" customWidth="1"/>
    <col min="2" max="2" width="28" bestFit="1" customWidth="1"/>
    <col min="3" max="3" width="11.5703125" bestFit="1" customWidth="1"/>
    <col min="4" max="4" width="9.42578125" bestFit="1" customWidth="1"/>
    <col min="5" max="5" width="12.7109375" bestFit="1" customWidth="1"/>
    <col min="6" max="6" width="14.5703125" bestFit="1" customWidth="1"/>
    <col min="7" max="7" width="11.7109375" bestFit="1" customWidth="1"/>
    <col min="8" max="8" width="24.28515625" bestFit="1" customWidth="1"/>
    <col min="9" max="9" width="21.140625" bestFit="1" customWidth="1"/>
    <col min="10" max="10" width="24" bestFit="1" customWidth="1"/>
    <col min="11" max="11" width="22.42578125" bestFit="1" customWidth="1"/>
    <col min="12" max="12" width="16.5703125" bestFit="1" customWidth="1"/>
    <col min="13" max="13" width="21.5703125" bestFit="1" customWidth="1"/>
    <col min="14" max="14" width="4.42578125" bestFit="1" customWidth="1"/>
    <col min="15" max="15" width="7" bestFit="1" customWidth="1"/>
    <col min="16" max="16" width="23.7109375" bestFit="1" customWidth="1"/>
    <col min="17" max="17" width="16.85546875" bestFit="1" customWidth="1"/>
    <col min="18" max="18" width="4.42578125" bestFit="1" customWidth="1"/>
    <col min="19" max="19" width="10.42578125" bestFit="1" customWidth="1"/>
    <col min="20" max="20" width="14.85546875" bestFit="1" customWidth="1"/>
    <col min="21" max="21" width="19.85546875" bestFit="1" customWidth="1"/>
    <col min="22" max="22" width="25.7109375" bestFit="1" customWidth="1"/>
    <col min="23" max="23" width="6.42578125" bestFit="1" customWidth="1"/>
    <col min="24" max="24" width="12.5703125" bestFit="1" customWidth="1"/>
    <col min="25" max="25" width="25.7109375" bestFit="1" customWidth="1"/>
    <col min="26" max="26" width="8.140625" bestFit="1" customWidth="1"/>
    <col min="27" max="27" width="6.5703125" bestFit="1" customWidth="1"/>
    <col min="28" max="28" width="7.28515625" bestFit="1" customWidth="1"/>
    <col min="29" max="29" width="11.28515625" bestFit="1" customWidth="1"/>
  </cols>
  <sheetData>
    <row r="3" spans="1:2" x14ac:dyDescent="0.25">
      <c r="A3" s="6" t="s">
        <v>222</v>
      </c>
      <c r="B3" t="s">
        <v>224</v>
      </c>
    </row>
    <row r="4" spans="1:2" x14ac:dyDescent="0.25">
      <c r="A4" s="7" t="s">
        <v>131</v>
      </c>
      <c r="B4" s="8">
        <v>5</v>
      </c>
    </row>
    <row r="5" spans="1:2" x14ac:dyDescent="0.25">
      <c r="A5" s="7" t="s">
        <v>128</v>
      </c>
      <c r="B5" s="8">
        <v>5</v>
      </c>
    </row>
    <row r="6" spans="1:2" x14ac:dyDescent="0.25">
      <c r="A6" s="7" t="s">
        <v>123</v>
      </c>
      <c r="B6" s="8">
        <v>17</v>
      </c>
    </row>
    <row r="7" spans="1:2" x14ac:dyDescent="0.25">
      <c r="A7" s="7" t="s">
        <v>127</v>
      </c>
      <c r="B7" s="8">
        <v>14</v>
      </c>
    </row>
    <row r="8" spans="1:2" x14ac:dyDescent="0.25">
      <c r="A8" s="7" t="s">
        <v>132</v>
      </c>
      <c r="B8" s="8">
        <v>12</v>
      </c>
    </row>
    <row r="9" spans="1:2" x14ac:dyDescent="0.25">
      <c r="A9" s="7" t="s">
        <v>125</v>
      </c>
      <c r="B9" s="8">
        <v>32</v>
      </c>
    </row>
    <row r="10" spans="1:2" x14ac:dyDescent="0.25">
      <c r="A10" s="7" t="s">
        <v>133</v>
      </c>
      <c r="B10" s="8">
        <v>45</v>
      </c>
    </row>
    <row r="11" spans="1:2" x14ac:dyDescent="0.25">
      <c r="A11" s="7" t="s">
        <v>126</v>
      </c>
      <c r="B11" s="8">
        <v>23</v>
      </c>
    </row>
    <row r="12" spans="1:2" x14ac:dyDescent="0.25">
      <c r="A12" s="7" t="s">
        <v>142</v>
      </c>
      <c r="B12" s="8">
        <v>6</v>
      </c>
    </row>
    <row r="13" spans="1:2" x14ac:dyDescent="0.25">
      <c r="A13" s="7" t="s">
        <v>129</v>
      </c>
      <c r="B13" s="8">
        <v>8</v>
      </c>
    </row>
    <row r="14" spans="1:2" x14ac:dyDescent="0.25">
      <c r="A14" s="7" t="s">
        <v>223</v>
      </c>
      <c r="B14" s="8">
        <v>167</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A0C46-C96C-4F1E-9B82-92195BB85328}">
  <sheetPr codeName="Sheet2"/>
  <dimension ref="A1:Q30"/>
  <sheetViews>
    <sheetView tabSelected="1" zoomScale="95" workbookViewId="0">
      <selection activeCell="R2" sqref="R2"/>
    </sheetView>
  </sheetViews>
  <sheetFormatPr defaultRowHeight="15" x14ac:dyDescent="0.25"/>
  <cols>
    <col min="1" max="6" width="9.140625" style="10"/>
    <col min="7" max="7" width="9" style="10" customWidth="1"/>
    <col min="8" max="16" width="9.140625" style="10"/>
    <col min="17" max="17" width="6.140625" style="10" customWidth="1"/>
    <col min="18" max="16384" width="9.140625" style="10"/>
  </cols>
  <sheetData>
    <row r="1" spans="1:17" x14ac:dyDescent="0.25">
      <c r="A1" s="9"/>
      <c r="B1" s="9"/>
      <c r="C1" s="9"/>
      <c r="D1" s="9"/>
      <c r="E1" s="9"/>
      <c r="F1" s="9"/>
      <c r="G1" s="9"/>
      <c r="H1" s="11"/>
      <c r="I1" s="11"/>
      <c r="J1" s="11"/>
      <c r="K1" s="11"/>
      <c r="L1" s="9"/>
      <c r="M1" s="9"/>
      <c r="N1" s="9"/>
      <c r="O1" s="9"/>
      <c r="P1" s="9"/>
      <c r="Q1" s="9"/>
    </row>
    <row r="2" spans="1:17" x14ac:dyDescent="0.25">
      <c r="A2" s="9"/>
      <c r="B2" s="9"/>
      <c r="C2" s="9"/>
      <c r="D2" s="9"/>
      <c r="E2" s="9"/>
      <c r="F2" s="9"/>
      <c r="G2" s="9"/>
      <c r="H2" s="9"/>
      <c r="I2" s="9"/>
      <c r="J2" s="9"/>
      <c r="K2" s="9"/>
      <c r="L2" s="9"/>
      <c r="M2" s="9"/>
      <c r="N2" s="9"/>
      <c r="O2" s="9"/>
      <c r="P2" s="9"/>
      <c r="Q2" s="9"/>
    </row>
    <row r="3" spans="1:17" x14ac:dyDescent="0.25">
      <c r="A3" s="9"/>
      <c r="B3" s="9"/>
      <c r="C3" s="9"/>
      <c r="D3" s="9"/>
      <c r="E3" s="9"/>
      <c r="F3" s="9"/>
      <c r="G3" s="9"/>
      <c r="H3" s="9"/>
      <c r="I3" s="9"/>
      <c r="J3" s="9"/>
      <c r="K3" s="9"/>
      <c r="L3" s="9"/>
      <c r="M3" s="9"/>
      <c r="N3" s="9"/>
      <c r="O3" s="9"/>
      <c r="P3" s="9"/>
      <c r="Q3" s="9"/>
    </row>
    <row r="4" spans="1:17" x14ac:dyDescent="0.25">
      <c r="A4" s="9"/>
      <c r="B4" s="9"/>
      <c r="C4" s="9"/>
      <c r="D4" s="9"/>
      <c r="E4" s="9"/>
      <c r="F4" s="9"/>
      <c r="G4" s="9"/>
      <c r="H4" s="9"/>
      <c r="I4" s="9"/>
      <c r="J4" s="9"/>
      <c r="K4" s="9"/>
      <c r="L4" s="9"/>
      <c r="M4" s="9"/>
      <c r="N4" s="9"/>
      <c r="O4" s="9"/>
      <c r="P4" s="9"/>
      <c r="Q4" s="9"/>
    </row>
    <row r="5" spans="1:17" x14ac:dyDescent="0.25">
      <c r="A5" s="9"/>
      <c r="B5" s="9"/>
      <c r="C5" s="9"/>
      <c r="D5" s="9"/>
      <c r="E5" s="9"/>
      <c r="F5" s="9"/>
      <c r="G5" s="9"/>
      <c r="H5" s="9"/>
      <c r="I5" s="9"/>
      <c r="J5" s="9"/>
      <c r="K5" s="9"/>
      <c r="L5" s="9"/>
      <c r="M5" s="9"/>
      <c r="N5" s="9"/>
      <c r="O5" s="9"/>
      <c r="P5" s="9"/>
      <c r="Q5" s="9"/>
    </row>
    <row r="6" spans="1:17" x14ac:dyDescent="0.25">
      <c r="A6" s="9"/>
      <c r="B6" s="9"/>
      <c r="C6" s="9"/>
      <c r="D6" s="9"/>
      <c r="E6" s="9"/>
      <c r="F6" s="9"/>
      <c r="G6" s="9"/>
      <c r="H6" s="9"/>
      <c r="I6" s="9"/>
      <c r="J6" s="9"/>
      <c r="K6" s="9"/>
      <c r="L6" s="9"/>
      <c r="M6" s="9"/>
      <c r="N6" s="9"/>
      <c r="O6" s="9"/>
      <c r="P6" s="9"/>
      <c r="Q6" s="9"/>
    </row>
    <row r="7" spans="1:17" x14ac:dyDescent="0.25">
      <c r="A7" s="9"/>
      <c r="B7" s="9"/>
      <c r="C7" s="9"/>
      <c r="D7" s="9"/>
      <c r="E7" s="9"/>
      <c r="F7" s="9"/>
      <c r="G7" s="9"/>
      <c r="H7" s="9"/>
      <c r="I7" s="9"/>
      <c r="J7" s="9"/>
      <c r="K7" s="9"/>
      <c r="L7" s="9"/>
      <c r="M7" s="9"/>
      <c r="N7" s="9"/>
      <c r="O7" s="9"/>
      <c r="P7" s="9"/>
      <c r="Q7" s="9"/>
    </row>
    <row r="8" spans="1:17" x14ac:dyDescent="0.25">
      <c r="A8" s="9"/>
      <c r="B8" s="9"/>
      <c r="C8" s="9"/>
      <c r="D8" s="9"/>
      <c r="E8" s="9"/>
      <c r="F8" s="9"/>
      <c r="G8" s="9"/>
      <c r="H8" s="9"/>
      <c r="I8" s="9"/>
      <c r="J8" s="9"/>
      <c r="K8" s="9"/>
      <c r="L8" s="9"/>
      <c r="M8" s="9"/>
      <c r="N8" s="9"/>
      <c r="O8" s="9"/>
      <c r="P8" s="9"/>
      <c r="Q8" s="9"/>
    </row>
    <row r="9" spans="1:17" x14ac:dyDescent="0.25">
      <c r="A9" s="9"/>
      <c r="B9" s="9"/>
      <c r="C9" s="9"/>
      <c r="D9" s="9"/>
      <c r="E9" s="9"/>
      <c r="F9" s="9"/>
      <c r="G9" s="9"/>
      <c r="H9" s="9"/>
      <c r="I9" s="9"/>
      <c r="J9" s="9"/>
      <c r="K9" s="9"/>
      <c r="L9" s="9"/>
      <c r="M9" s="9"/>
      <c r="N9" s="9"/>
      <c r="O9" s="9"/>
      <c r="P9" s="9"/>
      <c r="Q9" s="9"/>
    </row>
    <row r="10" spans="1:17" x14ac:dyDescent="0.25">
      <c r="A10" s="9"/>
      <c r="B10" s="9"/>
      <c r="C10" s="9"/>
      <c r="D10" s="9"/>
      <c r="E10" s="9"/>
      <c r="F10" s="9"/>
      <c r="G10" s="9"/>
      <c r="H10" s="9"/>
      <c r="I10" s="9"/>
      <c r="J10" s="9"/>
      <c r="K10" s="9"/>
      <c r="L10" s="9"/>
      <c r="M10" s="9"/>
      <c r="N10" s="9"/>
      <c r="O10" s="9"/>
      <c r="P10" s="9"/>
      <c r="Q10" s="9"/>
    </row>
    <row r="11" spans="1:17" x14ac:dyDescent="0.25">
      <c r="A11" s="9"/>
      <c r="B11" s="9"/>
      <c r="C11" s="9"/>
      <c r="D11" s="9"/>
      <c r="E11" s="9"/>
      <c r="F11" s="9"/>
      <c r="G11" s="9"/>
      <c r="H11" s="9"/>
      <c r="I11" s="9"/>
      <c r="J11" s="9"/>
      <c r="K11" s="9"/>
      <c r="L11" s="9"/>
      <c r="M11" s="9"/>
      <c r="N11" s="9"/>
      <c r="O11" s="9"/>
      <c r="P11" s="9"/>
      <c r="Q11" s="9"/>
    </row>
    <row r="12" spans="1:17" x14ac:dyDescent="0.25">
      <c r="A12" s="9"/>
      <c r="B12" s="9"/>
      <c r="C12" s="9"/>
      <c r="D12" s="9"/>
      <c r="E12" s="9"/>
      <c r="F12" s="9"/>
      <c r="G12" s="9"/>
      <c r="H12" s="9"/>
      <c r="I12" s="9"/>
      <c r="J12" s="9"/>
      <c r="K12" s="9"/>
      <c r="L12" s="9"/>
      <c r="M12" s="9"/>
      <c r="N12" s="9"/>
      <c r="O12" s="9"/>
      <c r="P12" s="9"/>
      <c r="Q12" s="9"/>
    </row>
    <row r="13" spans="1:17" x14ac:dyDescent="0.25">
      <c r="A13" s="9"/>
      <c r="B13" s="9"/>
      <c r="C13" s="9"/>
      <c r="D13" s="9"/>
      <c r="E13" s="9"/>
      <c r="F13" s="9"/>
      <c r="G13" s="9"/>
      <c r="H13" s="9"/>
      <c r="I13" s="9"/>
      <c r="J13" s="9"/>
      <c r="K13" s="9"/>
      <c r="L13" s="9"/>
      <c r="M13" s="9"/>
      <c r="N13" s="9"/>
      <c r="O13" s="9"/>
      <c r="P13" s="9"/>
      <c r="Q13" s="9"/>
    </row>
    <row r="14" spans="1:17" x14ac:dyDescent="0.25">
      <c r="A14" s="9"/>
      <c r="B14" s="9"/>
      <c r="C14" s="9"/>
      <c r="D14" s="9"/>
      <c r="E14" s="9"/>
      <c r="F14" s="9"/>
      <c r="G14" s="9"/>
      <c r="H14" s="9"/>
      <c r="I14" s="9"/>
      <c r="J14" s="9"/>
      <c r="K14" s="9"/>
      <c r="L14" s="9"/>
      <c r="M14" s="9"/>
      <c r="N14" s="9"/>
      <c r="O14" s="9"/>
      <c r="P14" s="9"/>
      <c r="Q14" s="9"/>
    </row>
    <row r="15" spans="1:17" x14ac:dyDescent="0.25">
      <c r="A15" s="9"/>
      <c r="B15" s="9"/>
      <c r="C15" s="9"/>
      <c r="D15" s="9"/>
      <c r="E15" s="9"/>
      <c r="F15" s="9"/>
      <c r="G15" s="9"/>
      <c r="H15" s="9"/>
      <c r="I15" s="9"/>
      <c r="J15" s="9"/>
      <c r="K15" s="9"/>
      <c r="L15" s="9"/>
      <c r="M15" s="9"/>
      <c r="N15" s="9"/>
      <c r="O15" s="9"/>
      <c r="P15" s="9"/>
      <c r="Q15" s="9"/>
    </row>
    <row r="16" spans="1:17" x14ac:dyDescent="0.25">
      <c r="A16" s="9"/>
      <c r="B16" s="9"/>
      <c r="C16" s="9"/>
      <c r="D16" s="9"/>
      <c r="E16" s="9"/>
      <c r="F16" s="9"/>
      <c r="G16" s="9"/>
      <c r="H16" s="9"/>
      <c r="I16" s="9"/>
      <c r="J16" s="9"/>
      <c r="K16" s="9"/>
      <c r="L16" s="9"/>
      <c r="M16" s="9"/>
      <c r="N16" s="9"/>
      <c r="O16" s="9"/>
      <c r="P16" s="9"/>
      <c r="Q16" s="9"/>
    </row>
    <row r="17" spans="1:17" x14ac:dyDescent="0.25">
      <c r="A17" s="9"/>
      <c r="B17" s="9"/>
      <c r="C17" s="9"/>
      <c r="D17" s="9"/>
      <c r="E17" s="9"/>
      <c r="F17" s="9"/>
      <c r="G17" s="9"/>
      <c r="H17" s="9"/>
      <c r="I17" s="9"/>
      <c r="J17" s="9"/>
      <c r="K17" s="9"/>
      <c r="L17" s="9"/>
      <c r="M17" s="9"/>
      <c r="N17" s="9"/>
      <c r="O17" s="9"/>
      <c r="P17" s="9"/>
      <c r="Q17" s="9"/>
    </row>
    <row r="18" spans="1:17" x14ac:dyDescent="0.25">
      <c r="A18" s="9"/>
      <c r="B18" s="9"/>
      <c r="C18" s="9"/>
      <c r="D18" s="9"/>
      <c r="E18" s="9"/>
      <c r="F18" s="9"/>
      <c r="G18" s="9"/>
      <c r="H18" s="9"/>
      <c r="I18" s="9"/>
      <c r="J18" s="9"/>
      <c r="K18" s="9"/>
      <c r="L18" s="9"/>
      <c r="M18" s="9"/>
      <c r="N18" s="9"/>
      <c r="O18" s="9"/>
      <c r="P18" s="9"/>
      <c r="Q18" s="9"/>
    </row>
    <row r="19" spans="1:17" x14ac:dyDescent="0.25">
      <c r="A19" s="9"/>
      <c r="B19" s="9"/>
      <c r="C19" s="9"/>
      <c r="D19" s="9"/>
      <c r="E19" s="9"/>
      <c r="F19" s="9"/>
      <c r="G19" s="9"/>
      <c r="H19" s="9"/>
      <c r="I19" s="9"/>
      <c r="J19" s="9"/>
      <c r="K19" s="9"/>
      <c r="L19" s="9"/>
      <c r="M19" s="9"/>
      <c r="N19" s="9"/>
      <c r="O19" s="9"/>
      <c r="P19" s="9"/>
      <c r="Q19" s="9"/>
    </row>
    <row r="20" spans="1:17" x14ac:dyDescent="0.25">
      <c r="A20" s="9"/>
      <c r="B20" s="9"/>
      <c r="C20" s="9"/>
      <c r="D20" s="9"/>
      <c r="E20" s="9"/>
      <c r="F20" s="9"/>
      <c r="G20" s="9"/>
      <c r="H20" s="9"/>
      <c r="I20" s="9"/>
      <c r="J20" s="9"/>
      <c r="K20" s="9"/>
      <c r="L20" s="9"/>
      <c r="M20" s="9"/>
      <c r="N20" s="9"/>
      <c r="O20" s="9"/>
      <c r="P20" s="9"/>
      <c r="Q20" s="9"/>
    </row>
    <row r="21" spans="1:17" x14ac:dyDescent="0.25">
      <c r="A21" s="9"/>
      <c r="B21" s="9"/>
      <c r="C21" s="9"/>
      <c r="D21" s="9"/>
      <c r="E21" s="9"/>
      <c r="F21" s="9"/>
      <c r="G21" s="9"/>
      <c r="H21" s="9"/>
      <c r="I21" s="9"/>
      <c r="J21" s="9"/>
      <c r="K21" s="9"/>
      <c r="L21" s="9"/>
      <c r="M21" s="9"/>
      <c r="N21" s="9"/>
      <c r="O21" s="9"/>
      <c r="P21" s="9"/>
      <c r="Q21" s="9"/>
    </row>
    <row r="22" spans="1:17" x14ac:dyDescent="0.25">
      <c r="A22" s="9"/>
      <c r="B22" s="9"/>
      <c r="C22" s="9"/>
      <c r="D22" s="9"/>
      <c r="E22" s="9"/>
      <c r="F22" s="9"/>
      <c r="G22" s="9"/>
      <c r="H22" s="9"/>
      <c r="I22" s="9"/>
      <c r="J22" s="9"/>
      <c r="K22" s="9"/>
      <c r="L22" s="9"/>
      <c r="M22" s="9"/>
      <c r="N22" s="9"/>
      <c r="O22" s="9"/>
      <c r="P22" s="9"/>
      <c r="Q22" s="9"/>
    </row>
    <row r="23" spans="1:17" x14ac:dyDescent="0.25">
      <c r="A23" s="9"/>
      <c r="B23" s="9"/>
      <c r="C23" s="9"/>
      <c r="D23" s="9"/>
      <c r="E23" s="9"/>
      <c r="F23" s="9"/>
      <c r="G23" s="9"/>
      <c r="H23" s="9"/>
      <c r="I23" s="9"/>
      <c r="J23" s="9"/>
      <c r="K23" s="9"/>
      <c r="L23" s="9"/>
      <c r="M23" s="9"/>
      <c r="N23" s="9"/>
      <c r="O23" s="9"/>
      <c r="P23" s="9"/>
      <c r="Q23" s="9"/>
    </row>
    <row r="24" spans="1:17" x14ac:dyDescent="0.25">
      <c r="A24" s="9"/>
      <c r="B24" s="9"/>
      <c r="C24" s="9"/>
      <c r="D24" s="9"/>
      <c r="E24" s="9"/>
      <c r="F24" s="9"/>
      <c r="G24" s="9"/>
      <c r="H24" s="9"/>
      <c r="I24" s="9"/>
      <c r="J24" s="9"/>
      <c r="K24" s="9"/>
      <c r="L24" s="9"/>
      <c r="M24" s="9"/>
      <c r="N24" s="9"/>
      <c r="O24" s="9"/>
      <c r="P24" s="9"/>
      <c r="Q24" s="9"/>
    </row>
    <row r="25" spans="1:17" x14ac:dyDescent="0.25">
      <c r="A25" s="9"/>
      <c r="B25" s="9"/>
      <c r="C25" s="9"/>
      <c r="D25" s="9"/>
      <c r="E25" s="9"/>
      <c r="F25" s="9"/>
      <c r="G25" s="9"/>
      <c r="H25" s="9"/>
      <c r="I25" s="9"/>
      <c r="J25" s="9"/>
      <c r="K25" s="9"/>
      <c r="L25" s="9"/>
      <c r="M25" s="9"/>
      <c r="N25" s="9"/>
      <c r="O25" s="9"/>
      <c r="P25" s="9"/>
      <c r="Q25" s="9"/>
    </row>
    <row r="26" spans="1:17" x14ac:dyDescent="0.25">
      <c r="A26" s="9"/>
      <c r="B26" s="9"/>
      <c r="C26" s="9"/>
      <c r="D26" s="9"/>
      <c r="E26" s="9"/>
      <c r="F26" s="9"/>
      <c r="G26" s="9"/>
      <c r="H26" s="9"/>
      <c r="I26" s="9"/>
      <c r="J26" s="9"/>
      <c r="K26" s="9"/>
      <c r="L26" s="9"/>
      <c r="M26" s="9"/>
      <c r="N26" s="9"/>
      <c r="O26" s="9"/>
      <c r="P26" s="9"/>
      <c r="Q26" s="9"/>
    </row>
    <row r="27" spans="1:17" x14ac:dyDescent="0.25">
      <c r="A27" s="9"/>
      <c r="B27" s="9"/>
      <c r="C27" s="9"/>
      <c r="D27" s="9"/>
      <c r="E27" s="9"/>
      <c r="F27" s="9"/>
      <c r="G27" s="9"/>
      <c r="H27" s="9"/>
      <c r="I27" s="9"/>
      <c r="J27" s="9"/>
      <c r="K27" s="9"/>
      <c r="L27" s="9"/>
      <c r="M27" s="9"/>
      <c r="N27" s="9"/>
      <c r="O27" s="9"/>
      <c r="P27" s="9"/>
      <c r="Q27" s="9"/>
    </row>
    <row r="28" spans="1:17" x14ac:dyDescent="0.25">
      <c r="A28" s="9"/>
      <c r="B28" s="9"/>
      <c r="C28" s="9"/>
      <c r="D28" s="9"/>
      <c r="E28" s="9"/>
      <c r="F28" s="9"/>
      <c r="G28" s="9"/>
      <c r="H28" s="9"/>
      <c r="I28" s="9"/>
      <c r="J28" s="9"/>
      <c r="K28" s="9"/>
      <c r="L28" s="9"/>
      <c r="M28" s="9"/>
      <c r="N28" s="9"/>
      <c r="O28" s="9"/>
      <c r="P28" s="9"/>
      <c r="Q28" s="9"/>
    </row>
    <row r="29" spans="1:17" x14ac:dyDescent="0.25">
      <c r="A29" s="9"/>
      <c r="B29" s="9"/>
      <c r="C29" s="9"/>
      <c r="D29" s="9"/>
      <c r="E29" s="9"/>
      <c r="F29" s="9"/>
      <c r="G29" s="9"/>
      <c r="H29" s="9"/>
      <c r="I29" s="9"/>
      <c r="J29" s="9"/>
      <c r="K29" s="9"/>
      <c r="L29" s="9"/>
      <c r="M29" s="9"/>
      <c r="N29" s="9"/>
      <c r="O29" s="9"/>
      <c r="P29" s="9"/>
      <c r="Q29" s="9"/>
    </row>
    <row r="30" spans="1:17" ht="9.75" customHeight="1" x14ac:dyDescent="0.25">
      <c r="A30" s="9"/>
      <c r="B30" s="9"/>
      <c r="C30" s="9"/>
      <c r="D30" s="9"/>
      <c r="E30" s="9"/>
      <c r="F30" s="9"/>
      <c r="G30" s="9"/>
      <c r="H30" s="9"/>
      <c r="I30" s="9"/>
      <c r="J30" s="9"/>
      <c r="K30" s="9"/>
      <c r="L30" s="9"/>
      <c r="M30" s="9"/>
      <c r="N30" s="9"/>
      <c r="O30" s="9"/>
      <c r="P30" s="9"/>
      <c r="Q30" s="9"/>
    </row>
  </sheetData>
  <mergeCells count="1">
    <mergeCell ref="H1:K1"/>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3EC8F6-8089-48F1-9EFD-F1B37FA7A521}">
  <sheetPr codeName="Sheet3"/>
  <dimension ref="A3:B14"/>
  <sheetViews>
    <sheetView topLeftCell="C1" workbookViewId="0">
      <selection activeCell="M6" sqref="M6"/>
    </sheetView>
  </sheetViews>
  <sheetFormatPr defaultRowHeight="15" x14ac:dyDescent="0.25"/>
  <cols>
    <col min="1" max="1" width="26.42578125" bestFit="1" customWidth="1"/>
    <col min="2" max="2" width="29" bestFit="1" customWidth="1"/>
  </cols>
  <sheetData>
    <row r="3" spans="1:2" x14ac:dyDescent="0.25">
      <c r="A3" s="6" t="s">
        <v>222</v>
      </c>
      <c r="B3" t="s">
        <v>225</v>
      </c>
    </row>
    <row r="4" spans="1:2" x14ac:dyDescent="0.25">
      <c r="A4" s="7" t="s">
        <v>229</v>
      </c>
      <c r="B4" s="8"/>
    </row>
    <row r="5" spans="1:2" x14ac:dyDescent="0.25">
      <c r="A5" s="7" t="s">
        <v>150</v>
      </c>
      <c r="B5" s="8">
        <v>20</v>
      </c>
    </row>
    <row r="6" spans="1:2" x14ac:dyDescent="0.25">
      <c r="A6" s="7" t="s">
        <v>155</v>
      </c>
      <c r="B6" s="8">
        <v>2</v>
      </c>
    </row>
    <row r="7" spans="1:2" x14ac:dyDescent="0.25">
      <c r="A7" s="7" t="s">
        <v>156</v>
      </c>
      <c r="B7" s="8">
        <v>8</v>
      </c>
    </row>
    <row r="8" spans="1:2" x14ac:dyDescent="0.25">
      <c r="A8" s="7" t="s">
        <v>152</v>
      </c>
      <c r="B8" s="8">
        <v>28</v>
      </c>
    </row>
    <row r="9" spans="1:2" x14ac:dyDescent="0.25">
      <c r="A9" s="7" t="s">
        <v>148</v>
      </c>
      <c r="B9" s="8">
        <v>40</v>
      </c>
    </row>
    <row r="10" spans="1:2" x14ac:dyDescent="0.25">
      <c r="A10" s="7" t="s">
        <v>149</v>
      </c>
      <c r="B10" s="8">
        <v>60</v>
      </c>
    </row>
    <row r="11" spans="1:2" x14ac:dyDescent="0.25">
      <c r="A11" s="7" t="s">
        <v>151</v>
      </c>
      <c r="B11" s="8">
        <v>23</v>
      </c>
    </row>
    <row r="12" spans="1:2" x14ac:dyDescent="0.25">
      <c r="A12" s="7" t="s">
        <v>154</v>
      </c>
      <c r="B12" s="8">
        <v>8</v>
      </c>
    </row>
    <row r="13" spans="1:2" x14ac:dyDescent="0.25">
      <c r="A13" s="7" t="s">
        <v>153</v>
      </c>
      <c r="B13" s="8">
        <v>11</v>
      </c>
    </row>
    <row r="14" spans="1:2" x14ac:dyDescent="0.25">
      <c r="A14" s="7" t="s">
        <v>223</v>
      </c>
      <c r="B14" s="8">
        <v>200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05785E-0FE3-4468-B0C8-25FB65A48127}">
  <sheetPr codeName="Sheet4"/>
  <dimension ref="A3:B14"/>
  <sheetViews>
    <sheetView topLeftCell="A3" workbookViewId="0">
      <selection activeCell="E21" sqref="E21"/>
    </sheetView>
  </sheetViews>
  <sheetFormatPr defaultRowHeight="15" x14ac:dyDescent="0.25"/>
  <cols>
    <col min="1" max="1" width="25.7109375" bestFit="1" customWidth="1"/>
    <col min="2" max="2" width="20.28515625" bestFit="1" customWidth="1"/>
    <col min="3" max="3" width="9.140625" bestFit="1" customWidth="1"/>
    <col min="7" max="7" width="4" bestFit="1" customWidth="1"/>
    <col min="8" max="8" width="7.28515625" bestFit="1" customWidth="1"/>
    <col min="9" max="9" width="11.28515625" bestFit="1" customWidth="1"/>
  </cols>
  <sheetData>
    <row r="3" spans="1:2" x14ac:dyDescent="0.25">
      <c r="A3" s="6" t="s">
        <v>222</v>
      </c>
      <c r="B3" t="s">
        <v>227</v>
      </c>
    </row>
    <row r="4" spans="1:2" x14ac:dyDescent="0.25">
      <c r="A4" s="7" t="s">
        <v>133</v>
      </c>
      <c r="B4" s="8">
        <v>45</v>
      </c>
    </row>
    <row r="5" spans="1:2" x14ac:dyDescent="0.25">
      <c r="A5" s="7" t="s">
        <v>125</v>
      </c>
      <c r="B5" s="8">
        <v>32</v>
      </c>
    </row>
    <row r="6" spans="1:2" x14ac:dyDescent="0.25">
      <c r="A6" s="7" t="s">
        <v>126</v>
      </c>
      <c r="B6" s="8">
        <v>23</v>
      </c>
    </row>
    <row r="7" spans="1:2" x14ac:dyDescent="0.25">
      <c r="A7" s="7" t="s">
        <v>123</v>
      </c>
      <c r="B7" s="8">
        <v>17</v>
      </c>
    </row>
    <row r="8" spans="1:2" x14ac:dyDescent="0.25">
      <c r="A8" s="7" t="s">
        <v>127</v>
      </c>
      <c r="B8" s="8">
        <v>14</v>
      </c>
    </row>
    <row r="9" spans="1:2" x14ac:dyDescent="0.25">
      <c r="A9" s="7" t="s">
        <v>132</v>
      </c>
      <c r="B9" s="8">
        <v>12</v>
      </c>
    </row>
    <row r="10" spans="1:2" x14ac:dyDescent="0.25">
      <c r="A10" s="7" t="s">
        <v>129</v>
      </c>
      <c r="B10" s="8">
        <v>8</v>
      </c>
    </row>
    <row r="11" spans="1:2" x14ac:dyDescent="0.25">
      <c r="A11" s="7" t="s">
        <v>142</v>
      </c>
      <c r="B11" s="8">
        <v>6</v>
      </c>
    </row>
    <row r="12" spans="1:2" x14ac:dyDescent="0.25">
      <c r="A12" s="7" t="s">
        <v>131</v>
      </c>
      <c r="B12" s="8">
        <v>5</v>
      </c>
    </row>
    <row r="13" spans="1:2" x14ac:dyDescent="0.25">
      <c r="A13" s="7" t="s">
        <v>128</v>
      </c>
      <c r="B13" s="8">
        <v>5</v>
      </c>
    </row>
    <row r="14" spans="1:2" x14ac:dyDescent="0.25">
      <c r="A14" s="7" t="s">
        <v>223</v>
      </c>
      <c r="B14" s="8">
        <v>167</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F42FA-1CA9-4E55-86CF-17CD0109FF53}">
  <sheetPr codeName="Sheet5"/>
  <dimension ref="A3:B14"/>
  <sheetViews>
    <sheetView topLeftCell="B1" workbookViewId="0">
      <selection activeCell="G19" sqref="G19"/>
    </sheetView>
  </sheetViews>
  <sheetFormatPr defaultRowHeight="15" x14ac:dyDescent="0.25"/>
  <cols>
    <col min="1" max="1" width="26.42578125" bestFit="1" customWidth="1"/>
    <col min="2" max="2" width="28.42578125" bestFit="1" customWidth="1"/>
  </cols>
  <sheetData>
    <row r="3" spans="1:2" x14ac:dyDescent="0.25">
      <c r="A3" s="6" t="s">
        <v>222</v>
      </c>
      <c r="B3" t="s">
        <v>226</v>
      </c>
    </row>
    <row r="4" spans="1:2" x14ac:dyDescent="0.25">
      <c r="A4" s="7" t="s">
        <v>149</v>
      </c>
      <c r="B4" s="8">
        <v>158</v>
      </c>
    </row>
    <row r="5" spans="1:2" x14ac:dyDescent="0.25">
      <c r="A5" s="7" t="s">
        <v>148</v>
      </c>
      <c r="B5" s="8">
        <v>123</v>
      </c>
    </row>
    <row r="6" spans="1:2" x14ac:dyDescent="0.25">
      <c r="A6" s="7" t="s">
        <v>156</v>
      </c>
      <c r="B6" s="8">
        <v>39</v>
      </c>
    </row>
    <row r="7" spans="1:2" x14ac:dyDescent="0.25">
      <c r="A7" s="7" t="s">
        <v>151</v>
      </c>
      <c r="B7" s="8">
        <v>31</v>
      </c>
    </row>
    <row r="8" spans="1:2" x14ac:dyDescent="0.25">
      <c r="A8" s="7" t="s">
        <v>152</v>
      </c>
      <c r="B8" s="8">
        <v>30</v>
      </c>
    </row>
    <row r="9" spans="1:2" x14ac:dyDescent="0.25">
      <c r="A9" s="7" t="s">
        <v>153</v>
      </c>
      <c r="B9" s="8">
        <v>29</v>
      </c>
    </row>
    <row r="10" spans="1:2" x14ac:dyDescent="0.25">
      <c r="A10" s="7" t="s">
        <v>150</v>
      </c>
      <c r="B10" s="8">
        <v>29</v>
      </c>
    </row>
    <row r="11" spans="1:2" x14ac:dyDescent="0.25">
      <c r="A11" s="7" t="s">
        <v>154</v>
      </c>
      <c r="B11" s="8">
        <v>16</v>
      </c>
    </row>
    <row r="12" spans="1:2" x14ac:dyDescent="0.25">
      <c r="A12" s="7" t="s">
        <v>155</v>
      </c>
      <c r="B12" s="8">
        <v>5</v>
      </c>
    </row>
    <row r="13" spans="1:2" x14ac:dyDescent="0.25">
      <c r="A13" s="7" t="s">
        <v>228</v>
      </c>
      <c r="B13" s="8"/>
    </row>
    <row r="14" spans="1:2" x14ac:dyDescent="0.25">
      <c r="A14" s="7" t="s">
        <v>223</v>
      </c>
      <c r="B14" s="8">
        <v>460</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O201"/>
  <sheetViews>
    <sheetView workbookViewId="0">
      <selection activeCell="F2" sqref="F2"/>
    </sheetView>
  </sheetViews>
  <sheetFormatPr defaultRowHeight="15" x14ac:dyDescent="0.25"/>
  <cols>
    <col min="1" max="1" width="31" style="1" bestFit="1" customWidth="1"/>
    <col min="2" max="2" width="25.7109375" style="1" bestFit="1" customWidth="1"/>
    <col min="3" max="3" width="26.42578125" style="1" bestFit="1" customWidth="1"/>
    <col min="4" max="4" width="19.42578125" style="1" bestFit="1" customWidth="1"/>
    <col min="5" max="5" width="20.7109375" style="1" bestFit="1" customWidth="1"/>
    <col min="6" max="6" width="12" style="1" bestFit="1" customWidth="1"/>
    <col min="7" max="7" width="19.7109375" style="1" bestFit="1" customWidth="1"/>
    <col min="8" max="8" width="7.7109375" style="1" bestFit="1" customWidth="1"/>
    <col min="9" max="9" width="11.140625" style="1" bestFit="1" customWidth="1"/>
    <col min="10" max="10" width="20" style="1" bestFit="1" customWidth="1"/>
    <col min="11" max="11" width="10.85546875" style="1" bestFit="1" customWidth="1"/>
    <col min="12" max="13" width="24.5703125" style="1" bestFit="1" customWidth="1"/>
    <col min="14" max="14" width="14.85546875" style="1" bestFit="1" customWidth="1"/>
    <col min="15" max="15" width="21.7109375" style="1" bestFit="1" customWidth="1"/>
  </cols>
  <sheetData>
    <row r="1" spans="1:15" s="5" customFormat="1" ht="19.5" customHeight="1" x14ac:dyDescent="0.25">
      <c r="A1" s="2" t="s">
        <v>0</v>
      </c>
      <c r="B1" s="2" t="s">
        <v>1</v>
      </c>
      <c r="C1" s="2" t="s">
        <v>2</v>
      </c>
      <c r="D1" s="2" t="s">
        <v>3</v>
      </c>
      <c r="E1" s="2" t="s">
        <v>4</v>
      </c>
      <c r="F1" s="2" t="s">
        <v>5</v>
      </c>
      <c r="G1" s="2" t="s">
        <v>6</v>
      </c>
      <c r="H1" s="2" t="s">
        <v>7</v>
      </c>
      <c r="I1" s="2" t="s">
        <v>8</v>
      </c>
      <c r="J1" s="2" t="s">
        <v>9</v>
      </c>
      <c r="K1" s="3" t="s">
        <v>10</v>
      </c>
      <c r="L1" s="4" t="s">
        <v>11</v>
      </c>
      <c r="M1" s="2" t="s">
        <v>12</v>
      </c>
      <c r="N1" s="2" t="s">
        <v>13</v>
      </c>
      <c r="O1" s="2" t="s">
        <v>14</v>
      </c>
    </row>
    <row r="2" spans="1:15" x14ac:dyDescent="0.25">
      <c r="A2" s="1" t="s">
        <v>15</v>
      </c>
      <c r="B2" s="1" t="s">
        <v>122</v>
      </c>
      <c r="C2" s="1" t="s">
        <v>148</v>
      </c>
      <c r="D2" s="1" t="s">
        <v>157</v>
      </c>
      <c r="E2" s="1" t="s">
        <v>161</v>
      </c>
      <c r="F2" s="1">
        <f ca="1">AVERAGE(LEFT(F2,FIND("-",F2)-1), MID(F2,FIND("-",F2)+50,59))</f>
        <v>0</v>
      </c>
      <c r="G2" s="1" t="s">
        <v>174</v>
      </c>
      <c r="H2" s="1" t="s">
        <v>180</v>
      </c>
      <c r="I2" s="1" t="s">
        <v>182</v>
      </c>
      <c r="J2" s="1" t="s">
        <v>187</v>
      </c>
      <c r="K2" s="1" t="s">
        <v>190</v>
      </c>
      <c r="L2" s="1" t="s">
        <v>192</v>
      </c>
      <c r="M2" s="1" t="s">
        <v>192</v>
      </c>
      <c r="N2" s="1" t="b">
        <v>1</v>
      </c>
      <c r="O2" s="1">
        <v>1</v>
      </c>
    </row>
    <row r="3" spans="1:15" x14ac:dyDescent="0.25">
      <c r="A3" s="1" t="s">
        <v>16</v>
      </c>
      <c r="B3" s="1" t="s">
        <v>123</v>
      </c>
      <c r="C3" s="1" t="s">
        <v>149</v>
      </c>
      <c r="D3" s="1" t="s">
        <v>158</v>
      </c>
      <c r="E3" s="1" t="s">
        <v>162</v>
      </c>
      <c r="F3" s="1" t="s">
        <v>168</v>
      </c>
      <c r="G3" s="1" t="s">
        <v>175</v>
      </c>
      <c r="H3" s="1" t="s">
        <v>181</v>
      </c>
      <c r="I3" s="1" t="s">
        <v>183</v>
      </c>
      <c r="J3" s="1" t="s">
        <v>188</v>
      </c>
      <c r="K3" s="1" t="s">
        <v>191</v>
      </c>
      <c r="L3" s="1" t="s">
        <v>193</v>
      </c>
      <c r="M3" s="1" t="s">
        <v>193</v>
      </c>
      <c r="N3" s="1" t="b">
        <v>1</v>
      </c>
      <c r="O3" s="1">
        <v>2</v>
      </c>
    </row>
    <row r="4" spans="1:15" x14ac:dyDescent="0.25">
      <c r="A4" s="1" t="s">
        <v>17</v>
      </c>
      <c r="B4" s="1" t="s">
        <v>124</v>
      </c>
      <c r="C4" s="1" t="s">
        <v>150</v>
      </c>
      <c r="D4" s="1" t="s">
        <v>157</v>
      </c>
      <c r="E4" s="1" t="s">
        <v>162</v>
      </c>
      <c r="F4" s="1" t="s">
        <v>169</v>
      </c>
      <c r="G4" s="1" t="s">
        <v>175</v>
      </c>
      <c r="H4" s="1" t="s">
        <v>181</v>
      </c>
      <c r="I4" s="1" t="s">
        <v>184</v>
      </c>
      <c r="J4" s="1" t="s">
        <v>188</v>
      </c>
      <c r="K4" s="1" t="s">
        <v>191</v>
      </c>
      <c r="L4" s="1" t="s">
        <v>194</v>
      </c>
      <c r="M4" s="1" t="s">
        <v>194</v>
      </c>
      <c r="N4" s="1" t="b">
        <v>1</v>
      </c>
      <c r="O4" s="1">
        <v>2</v>
      </c>
    </row>
    <row r="5" spans="1:15" x14ac:dyDescent="0.25">
      <c r="A5" s="1" t="s">
        <v>18</v>
      </c>
      <c r="B5" s="1" t="s">
        <v>125</v>
      </c>
      <c r="C5" s="1" t="s">
        <v>151</v>
      </c>
      <c r="D5" s="1" t="s">
        <v>157</v>
      </c>
      <c r="E5" s="1" t="s">
        <v>161</v>
      </c>
      <c r="F5" s="1" t="s">
        <v>168</v>
      </c>
      <c r="G5" s="1" t="s">
        <v>176</v>
      </c>
      <c r="H5" s="1" t="s">
        <v>180</v>
      </c>
      <c r="I5" s="1" t="s">
        <v>184</v>
      </c>
      <c r="J5" s="1" t="s">
        <v>189</v>
      </c>
      <c r="K5" s="1" t="s">
        <v>190</v>
      </c>
      <c r="L5" s="1" t="s">
        <v>192</v>
      </c>
      <c r="M5" s="1" t="s">
        <v>192</v>
      </c>
      <c r="N5" s="1" t="b">
        <v>1</v>
      </c>
      <c r="O5" s="1">
        <v>1</v>
      </c>
    </row>
    <row r="6" spans="1:15" x14ac:dyDescent="0.25">
      <c r="A6" s="1" t="s">
        <v>19</v>
      </c>
      <c r="B6" s="1" t="s">
        <v>126</v>
      </c>
      <c r="C6" s="1" t="s">
        <v>151</v>
      </c>
      <c r="D6" s="1" t="s">
        <v>159</v>
      </c>
      <c r="E6" s="1" t="s">
        <v>162</v>
      </c>
      <c r="F6" s="1" t="s">
        <v>170</v>
      </c>
      <c r="G6" s="1" t="s">
        <v>175</v>
      </c>
      <c r="H6" s="1" t="s">
        <v>181</v>
      </c>
      <c r="I6" s="1" t="s">
        <v>184</v>
      </c>
      <c r="J6" s="1" t="s">
        <v>188</v>
      </c>
      <c r="K6" s="1" t="s">
        <v>191</v>
      </c>
      <c r="L6" s="1" t="s">
        <v>195</v>
      </c>
      <c r="M6" s="1" t="s">
        <v>212</v>
      </c>
      <c r="N6" s="1" t="b">
        <v>0</v>
      </c>
      <c r="O6" s="1">
        <v>2</v>
      </c>
    </row>
    <row r="7" spans="1:15" x14ac:dyDescent="0.25">
      <c r="A7" s="1" t="s">
        <v>20</v>
      </c>
      <c r="B7" s="1" t="s">
        <v>127</v>
      </c>
      <c r="C7" s="1" t="s">
        <v>150</v>
      </c>
      <c r="D7" s="1" t="s">
        <v>159</v>
      </c>
      <c r="E7" s="1" t="s">
        <v>163</v>
      </c>
      <c r="F7" s="1" t="s">
        <v>170</v>
      </c>
      <c r="G7" s="1" t="s">
        <v>177</v>
      </c>
      <c r="H7" s="1" t="s">
        <v>180</v>
      </c>
      <c r="I7" s="1" t="s">
        <v>184</v>
      </c>
      <c r="J7" s="1" t="s">
        <v>188</v>
      </c>
      <c r="K7" s="1" t="s">
        <v>191</v>
      </c>
      <c r="L7" s="1" t="s">
        <v>196</v>
      </c>
      <c r="M7" s="1" t="s">
        <v>213</v>
      </c>
      <c r="N7" s="1" t="b">
        <v>0</v>
      </c>
      <c r="O7" s="1">
        <v>3</v>
      </c>
    </row>
    <row r="8" spans="1:15" x14ac:dyDescent="0.25">
      <c r="A8" s="1" t="s">
        <v>21</v>
      </c>
      <c r="B8" s="1" t="s">
        <v>128</v>
      </c>
      <c r="C8" s="1" t="s">
        <v>148</v>
      </c>
      <c r="D8" s="1" t="s">
        <v>159</v>
      </c>
      <c r="E8" s="1" t="s">
        <v>164</v>
      </c>
      <c r="F8" s="1" t="s">
        <v>169</v>
      </c>
      <c r="G8" s="1" t="s">
        <v>178</v>
      </c>
      <c r="H8" s="1" t="s">
        <v>180</v>
      </c>
      <c r="I8" s="1" t="s">
        <v>182</v>
      </c>
      <c r="J8" s="1" t="s">
        <v>188</v>
      </c>
      <c r="K8" s="1" t="s">
        <v>191</v>
      </c>
      <c r="L8" s="1" t="s">
        <v>195</v>
      </c>
      <c r="M8" s="1" t="s">
        <v>212</v>
      </c>
      <c r="N8" s="1" t="b">
        <v>0</v>
      </c>
      <c r="O8" s="1">
        <v>4</v>
      </c>
    </row>
    <row r="9" spans="1:15" x14ac:dyDescent="0.25">
      <c r="A9" s="1" t="s">
        <v>22</v>
      </c>
      <c r="B9" s="1" t="s">
        <v>127</v>
      </c>
      <c r="C9" s="1" t="s">
        <v>148</v>
      </c>
      <c r="D9" s="1" t="s">
        <v>157</v>
      </c>
      <c r="E9" s="1" t="s">
        <v>163</v>
      </c>
      <c r="F9" s="1" t="s">
        <v>168</v>
      </c>
      <c r="G9" s="1" t="s">
        <v>177</v>
      </c>
      <c r="H9" s="1" t="s">
        <v>180</v>
      </c>
      <c r="I9" s="1" t="s">
        <v>183</v>
      </c>
      <c r="J9" s="1" t="s">
        <v>188</v>
      </c>
      <c r="K9" s="1" t="s">
        <v>191</v>
      </c>
      <c r="L9" s="1" t="s">
        <v>197</v>
      </c>
      <c r="M9" s="1" t="s">
        <v>197</v>
      </c>
      <c r="N9" s="1" t="b">
        <v>1</v>
      </c>
      <c r="O9" s="1">
        <v>3</v>
      </c>
    </row>
    <row r="10" spans="1:15" x14ac:dyDescent="0.25">
      <c r="A10" s="1" t="s">
        <v>23</v>
      </c>
      <c r="B10" s="1" t="s">
        <v>125</v>
      </c>
      <c r="C10" s="1" t="s">
        <v>152</v>
      </c>
      <c r="D10" s="1" t="s">
        <v>157</v>
      </c>
      <c r="E10" s="1" t="s">
        <v>161</v>
      </c>
      <c r="F10" s="1" t="s">
        <v>171</v>
      </c>
      <c r="G10" s="1" t="s">
        <v>179</v>
      </c>
      <c r="H10" s="1" t="s">
        <v>181</v>
      </c>
      <c r="I10" s="1" t="s">
        <v>182</v>
      </c>
      <c r="J10" s="1" t="s">
        <v>189</v>
      </c>
      <c r="K10" s="1" t="s">
        <v>190</v>
      </c>
      <c r="L10" s="1" t="s">
        <v>194</v>
      </c>
      <c r="M10" s="1" t="s">
        <v>194</v>
      </c>
      <c r="N10" s="1" t="b">
        <v>1</v>
      </c>
      <c r="O10" s="1">
        <v>1</v>
      </c>
    </row>
    <row r="11" spans="1:15" x14ac:dyDescent="0.25">
      <c r="A11" s="1" t="s">
        <v>24</v>
      </c>
      <c r="B11" s="1" t="s">
        <v>129</v>
      </c>
      <c r="C11" s="1" t="s">
        <v>148</v>
      </c>
      <c r="D11" s="1" t="s">
        <v>157</v>
      </c>
      <c r="E11" s="1" t="s">
        <v>164</v>
      </c>
      <c r="F11" s="1" t="s">
        <v>170</v>
      </c>
      <c r="G11" s="1" t="s">
        <v>178</v>
      </c>
      <c r="H11" s="1" t="s">
        <v>181</v>
      </c>
      <c r="I11" s="1" t="s">
        <v>182</v>
      </c>
      <c r="J11" s="1" t="s">
        <v>188</v>
      </c>
      <c r="K11" s="1" t="s">
        <v>191</v>
      </c>
      <c r="L11" s="1" t="s">
        <v>193</v>
      </c>
      <c r="M11" s="1" t="s">
        <v>193</v>
      </c>
      <c r="N11" s="1" t="b">
        <v>1</v>
      </c>
      <c r="O11" s="1">
        <v>4</v>
      </c>
    </row>
    <row r="12" spans="1:15" x14ac:dyDescent="0.25">
      <c r="A12" s="1" t="s">
        <v>25</v>
      </c>
      <c r="B12" s="1" t="s">
        <v>126</v>
      </c>
      <c r="C12" s="1" t="s">
        <v>151</v>
      </c>
      <c r="D12" s="1" t="s">
        <v>157</v>
      </c>
      <c r="E12" s="1" t="s">
        <v>161</v>
      </c>
      <c r="F12" s="1" t="s">
        <v>167</v>
      </c>
      <c r="G12" s="1" t="s">
        <v>176</v>
      </c>
      <c r="H12" s="1" t="s">
        <v>181</v>
      </c>
      <c r="I12" s="1" t="s">
        <v>185</v>
      </c>
      <c r="J12" s="1" t="s">
        <v>188</v>
      </c>
      <c r="K12" s="1" t="s">
        <v>191</v>
      </c>
      <c r="L12" s="1" t="s">
        <v>198</v>
      </c>
      <c r="M12" s="1" t="s">
        <v>198</v>
      </c>
      <c r="N12" s="1" t="b">
        <v>1</v>
      </c>
      <c r="O12" s="1">
        <v>1</v>
      </c>
    </row>
    <row r="13" spans="1:15" x14ac:dyDescent="0.25">
      <c r="A13" s="1" t="s">
        <v>26</v>
      </c>
      <c r="B13" s="1" t="s">
        <v>130</v>
      </c>
      <c r="C13" s="1" t="s">
        <v>148</v>
      </c>
      <c r="D13" s="1" t="s">
        <v>157</v>
      </c>
      <c r="E13" s="1" t="s">
        <v>163</v>
      </c>
      <c r="F13" s="1" t="s">
        <v>167</v>
      </c>
      <c r="G13" s="1" t="s">
        <v>177</v>
      </c>
      <c r="H13" s="1" t="s">
        <v>180</v>
      </c>
      <c r="I13" s="1" t="s">
        <v>182</v>
      </c>
      <c r="J13" s="1" t="s">
        <v>188</v>
      </c>
      <c r="K13" s="1" t="s">
        <v>191</v>
      </c>
      <c r="L13" s="1" t="s">
        <v>197</v>
      </c>
      <c r="M13" s="1" t="s">
        <v>197</v>
      </c>
      <c r="N13" s="1" t="b">
        <v>1</v>
      </c>
      <c r="O13" s="1">
        <v>3</v>
      </c>
    </row>
    <row r="14" spans="1:15" x14ac:dyDescent="0.25">
      <c r="A14" s="1" t="s">
        <v>27</v>
      </c>
      <c r="B14" s="1" t="s">
        <v>127</v>
      </c>
      <c r="C14" s="1" t="s">
        <v>153</v>
      </c>
      <c r="D14" s="1" t="s">
        <v>159</v>
      </c>
      <c r="E14" s="1" t="s">
        <v>162</v>
      </c>
      <c r="F14" s="1" t="s">
        <v>170</v>
      </c>
      <c r="G14" s="1" t="s">
        <v>175</v>
      </c>
      <c r="H14" s="1" t="s">
        <v>181</v>
      </c>
      <c r="I14" s="1" t="s">
        <v>184</v>
      </c>
      <c r="J14" s="1" t="s">
        <v>188</v>
      </c>
      <c r="K14" s="1" t="s">
        <v>191</v>
      </c>
      <c r="L14" s="1" t="s">
        <v>199</v>
      </c>
      <c r="M14" s="1" t="s">
        <v>214</v>
      </c>
      <c r="N14" s="1" t="b">
        <v>0</v>
      </c>
      <c r="O14" s="1">
        <v>2</v>
      </c>
    </row>
    <row r="15" spans="1:15" x14ac:dyDescent="0.25">
      <c r="A15" s="1" t="s">
        <v>28</v>
      </c>
      <c r="B15" s="1" t="s">
        <v>131</v>
      </c>
      <c r="C15" s="1" t="s">
        <v>151</v>
      </c>
      <c r="D15" s="1" t="s">
        <v>159</v>
      </c>
      <c r="E15" s="1" t="s">
        <v>161</v>
      </c>
      <c r="F15" s="1" t="s">
        <v>167</v>
      </c>
      <c r="G15" s="1" t="s">
        <v>176</v>
      </c>
      <c r="H15" s="1" t="s">
        <v>180</v>
      </c>
      <c r="I15" s="1" t="s">
        <v>184</v>
      </c>
      <c r="J15" s="1" t="s">
        <v>188</v>
      </c>
      <c r="K15" s="1" t="s">
        <v>191</v>
      </c>
      <c r="L15" s="1" t="s">
        <v>200</v>
      </c>
      <c r="M15" s="1" t="s">
        <v>215</v>
      </c>
      <c r="N15" s="1" t="b">
        <v>0</v>
      </c>
      <c r="O15" s="1">
        <v>1</v>
      </c>
    </row>
    <row r="16" spans="1:15" x14ac:dyDescent="0.25">
      <c r="A16" s="1" t="s">
        <v>29</v>
      </c>
      <c r="B16" s="1" t="s">
        <v>132</v>
      </c>
      <c r="C16" s="1" t="s">
        <v>150</v>
      </c>
      <c r="D16" s="1" t="s">
        <v>159</v>
      </c>
      <c r="E16" s="1" t="s">
        <v>162</v>
      </c>
      <c r="F16" s="1" t="s">
        <v>172</v>
      </c>
      <c r="G16" s="1" t="s">
        <v>175</v>
      </c>
      <c r="H16" s="1" t="s">
        <v>180</v>
      </c>
      <c r="I16" s="1" t="s">
        <v>183</v>
      </c>
      <c r="J16" s="1" t="s">
        <v>188</v>
      </c>
      <c r="K16" s="1" t="s">
        <v>191</v>
      </c>
      <c r="L16" s="1" t="s">
        <v>199</v>
      </c>
      <c r="M16" s="1" t="s">
        <v>214</v>
      </c>
      <c r="N16" s="1" t="b">
        <v>0</v>
      </c>
      <c r="O16" s="1">
        <v>2</v>
      </c>
    </row>
    <row r="17" spans="1:15" x14ac:dyDescent="0.25">
      <c r="A17" s="1" t="s">
        <v>30</v>
      </c>
      <c r="B17" s="1" t="s">
        <v>125</v>
      </c>
      <c r="C17" s="1" t="s">
        <v>152</v>
      </c>
      <c r="D17" s="1" t="s">
        <v>157</v>
      </c>
      <c r="E17" s="1" t="s">
        <v>161</v>
      </c>
      <c r="F17" s="1" t="s">
        <v>167</v>
      </c>
      <c r="G17" s="1" t="s">
        <v>179</v>
      </c>
      <c r="H17" s="1" t="s">
        <v>181</v>
      </c>
      <c r="I17" s="1" t="s">
        <v>182</v>
      </c>
      <c r="J17" s="1" t="s">
        <v>189</v>
      </c>
      <c r="K17" s="1" t="s">
        <v>190</v>
      </c>
      <c r="L17" s="1" t="s">
        <v>201</v>
      </c>
      <c r="M17" s="1" t="s">
        <v>201</v>
      </c>
      <c r="N17" s="1" t="b">
        <v>1</v>
      </c>
      <c r="O17" s="1">
        <v>1</v>
      </c>
    </row>
    <row r="18" spans="1:15" x14ac:dyDescent="0.25">
      <c r="A18" s="1" t="s">
        <v>31</v>
      </c>
      <c r="B18" s="1" t="s">
        <v>133</v>
      </c>
      <c r="C18" s="1" t="s">
        <v>149</v>
      </c>
      <c r="D18" s="1" t="s">
        <v>157</v>
      </c>
      <c r="E18" s="1" t="s">
        <v>161</v>
      </c>
      <c r="F18" s="1" t="s">
        <v>167</v>
      </c>
      <c r="G18" s="1" t="s">
        <v>174</v>
      </c>
      <c r="H18" s="1" t="s">
        <v>181</v>
      </c>
      <c r="I18" s="1" t="s">
        <v>185</v>
      </c>
      <c r="J18" s="1" t="s">
        <v>188</v>
      </c>
      <c r="K18" s="1" t="s">
        <v>191</v>
      </c>
      <c r="L18" s="1" t="s">
        <v>197</v>
      </c>
      <c r="M18" s="1" t="s">
        <v>197</v>
      </c>
      <c r="N18" s="1" t="b">
        <v>1</v>
      </c>
      <c r="O18" s="1">
        <v>1</v>
      </c>
    </row>
    <row r="19" spans="1:15" x14ac:dyDescent="0.25">
      <c r="A19" s="1" t="s">
        <v>32</v>
      </c>
      <c r="B19" s="1" t="s">
        <v>126</v>
      </c>
      <c r="C19" s="1" t="s">
        <v>152</v>
      </c>
      <c r="D19" s="1" t="s">
        <v>159</v>
      </c>
      <c r="E19" s="1" t="s">
        <v>161</v>
      </c>
      <c r="F19" s="1" t="s">
        <v>172</v>
      </c>
      <c r="G19" s="1" t="s">
        <v>176</v>
      </c>
      <c r="H19" s="1" t="s">
        <v>180</v>
      </c>
      <c r="I19" s="1" t="s">
        <v>184</v>
      </c>
      <c r="J19" s="1" t="s">
        <v>189</v>
      </c>
      <c r="K19" s="1" t="s">
        <v>190</v>
      </c>
      <c r="L19" s="1" t="s">
        <v>199</v>
      </c>
      <c r="M19" s="1" t="s">
        <v>214</v>
      </c>
      <c r="N19" s="1" t="b">
        <v>0</v>
      </c>
      <c r="O19" s="1">
        <v>1</v>
      </c>
    </row>
    <row r="20" spans="1:15" x14ac:dyDescent="0.25">
      <c r="A20" s="1" t="s">
        <v>33</v>
      </c>
      <c r="B20" s="1" t="s">
        <v>127</v>
      </c>
      <c r="C20" s="1" t="s">
        <v>148</v>
      </c>
      <c r="D20" s="1" t="s">
        <v>159</v>
      </c>
      <c r="E20" s="1" t="s">
        <v>163</v>
      </c>
      <c r="F20" s="1" t="s">
        <v>168</v>
      </c>
      <c r="G20" s="1" t="s">
        <v>177</v>
      </c>
      <c r="H20" s="1" t="s">
        <v>180</v>
      </c>
      <c r="I20" s="1" t="s">
        <v>184</v>
      </c>
      <c r="J20" s="1" t="s">
        <v>188</v>
      </c>
      <c r="K20" s="1" t="s">
        <v>191</v>
      </c>
      <c r="L20" s="1" t="s">
        <v>195</v>
      </c>
      <c r="M20" s="1" t="s">
        <v>212</v>
      </c>
      <c r="N20" s="1" t="b">
        <v>0</v>
      </c>
      <c r="O20" s="1">
        <v>3</v>
      </c>
    </row>
    <row r="21" spans="1:15" x14ac:dyDescent="0.25">
      <c r="A21" s="1" t="s">
        <v>34</v>
      </c>
      <c r="B21" s="1" t="s">
        <v>134</v>
      </c>
      <c r="C21" s="1" t="s">
        <v>148</v>
      </c>
      <c r="D21" s="1" t="s">
        <v>159</v>
      </c>
      <c r="E21" s="1" t="s">
        <v>162</v>
      </c>
      <c r="F21" s="1" t="s">
        <v>168</v>
      </c>
      <c r="G21" s="1" t="s">
        <v>175</v>
      </c>
      <c r="H21" s="1" t="s">
        <v>181</v>
      </c>
      <c r="I21" s="1" t="s">
        <v>182</v>
      </c>
      <c r="J21" s="1" t="s">
        <v>188</v>
      </c>
      <c r="K21" s="1" t="s">
        <v>191</v>
      </c>
      <c r="L21" s="1" t="s">
        <v>195</v>
      </c>
      <c r="M21" s="1" t="s">
        <v>212</v>
      </c>
      <c r="N21" s="1" t="b">
        <v>0</v>
      </c>
      <c r="O21" s="1">
        <v>2</v>
      </c>
    </row>
    <row r="22" spans="1:15" x14ac:dyDescent="0.25">
      <c r="A22" s="1" t="s">
        <v>30</v>
      </c>
      <c r="B22" s="1" t="s">
        <v>125</v>
      </c>
      <c r="C22" s="1" t="s">
        <v>152</v>
      </c>
      <c r="D22" s="1" t="s">
        <v>157</v>
      </c>
      <c r="E22" s="1" t="s">
        <v>161</v>
      </c>
      <c r="F22" s="1" t="s">
        <v>172</v>
      </c>
      <c r="G22" s="1" t="s">
        <v>179</v>
      </c>
      <c r="H22" s="1" t="s">
        <v>180</v>
      </c>
      <c r="I22" s="1" t="s">
        <v>184</v>
      </c>
      <c r="J22" s="1" t="s">
        <v>189</v>
      </c>
      <c r="K22" s="1" t="s">
        <v>190</v>
      </c>
      <c r="L22" s="1" t="s">
        <v>197</v>
      </c>
      <c r="M22" s="1" t="s">
        <v>197</v>
      </c>
      <c r="N22" s="1" t="b">
        <v>1</v>
      </c>
      <c r="O22" s="1">
        <v>1</v>
      </c>
    </row>
    <row r="23" spans="1:15" x14ac:dyDescent="0.25">
      <c r="A23" s="1" t="s">
        <v>35</v>
      </c>
      <c r="B23" s="1" t="s">
        <v>135</v>
      </c>
      <c r="C23" s="1" t="s">
        <v>148</v>
      </c>
      <c r="D23" s="1" t="s">
        <v>157</v>
      </c>
      <c r="E23" s="1" t="s">
        <v>161</v>
      </c>
      <c r="F23" s="1" t="s">
        <v>168</v>
      </c>
      <c r="G23" s="1" t="s">
        <v>174</v>
      </c>
      <c r="H23" s="1" t="s">
        <v>180</v>
      </c>
      <c r="I23" s="1" t="s">
        <v>184</v>
      </c>
      <c r="J23" s="1" t="s">
        <v>188</v>
      </c>
      <c r="K23" s="1" t="s">
        <v>191</v>
      </c>
      <c r="L23" s="1" t="s">
        <v>202</v>
      </c>
      <c r="M23" s="1" t="s">
        <v>202</v>
      </c>
      <c r="N23" s="1" t="b">
        <v>1</v>
      </c>
      <c r="O23" s="1">
        <v>1</v>
      </c>
    </row>
    <row r="24" spans="1:15" x14ac:dyDescent="0.25">
      <c r="A24" s="1" t="s">
        <v>36</v>
      </c>
      <c r="B24" s="1" t="s">
        <v>125</v>
      </c>
      <c r="C24" s="1" t="s">
        <v>153</v>
      </c>
      <c r="D24" s="1" t="s">
        <v>157</v>
      </c>
      <c r="E24" s="1" t="s">
        <v>163</v>
      </c>
      <c r="F24" s="1" t="s">
        <v>169</v>
      </c>
      <c r="G24" s="1" t="s">
        <v>177</v>
      </c>
      <c r="H24" s="1" t="s">
        <v>181</v>
      </c>
      <c r="I24" s="1" t="s">
        <v>182</v>
      </c>
      <c r="J24" s="1" t="s">
        <v>189</v>
      </c>
      <c r="K24" s="1" t="s">
        <v>190</v>
      </c>
      <c r="L24" s="1" t="s">
        <v>197</v>
      </c>
      <c r="M24" s="1" t="s">
        <v>197</v>
      </c>
      <c r="N24" s="1" t="b">
        <v>1</v>
      </c>
      <c r="O24" s="1">
        <v>3</v>
      </c>
    </row>
    <row r="25" spans="1:15" x14ac:dyDescent="0.25">
      <c r="A25" s="1" t="s">
        <v>37</v>
      </c>
      <c r="B25" s="1" t="s">
        <v>126</v>
      </c>
      <c r="C25" s="1" t="s">
        <v>151</v>
      </c>
      <c r="D25" s="1" t="s">
        <v>159</v>
      </c>
      <c r="E25" s="1" t="s">
        <v>161</v>
      </c>
      <c r="F25" s="1" t="s">
        <v>172</v>
      </c>
      <c r="G25" s="1" t="s">
        <v>174</v>
      </c>
      <c r="H25" s="1" t="s">
        <v>181</v>
      </c>
      <c r="I25" s="1" t="s">
        <v>184</v>
      </c>
      <c r="J25" s="1" t="s">
        <v>189</v>
      </c>
      <c r="K25" s="1" t="s">
        <v>190</v>
      </c>
      <c r="L25" s="1" t="s">
        <v>203</v>
      </c>
      <c r="M25" s="1" t="s">
        <v>216</v>
      </c>
      <c r="N25" s="1" t="b">
        <v>0</v>
      </c>
      <c r="O25" s="1">
        <v>1</v>
      </c>
    </row>
    <row r="26" spans="1:15" x14ac:dyDescent="0.25">
      <c r="A26" s="1" t="s">
        <v>38</v>
      </c>
      <c r="B26" s="1" t="s">
        <v>127</v>
      </c>
      <c r="C26" s="1" t="s">
        <v>148</v>
      </c>
      <c r="D26" s="1" t="s">
        <v>157</v>
      </c>
      <c r="E26" s="1" t="s">
        <v>164</v>
      </c>
      <c r="F26" s="1" t="s">
        <v>167</v>
      </c>
      <c r="G26" s="1" t="s">
        <v>178</v>
      </c>
      <c r="H26" s="1" t="s">
        <v>181</v>
      </c>
      <c r="I26" s="1" t="s">
        <v>182</v>
      </c>
      <c r="J26" s="1" t="s">
        <v>188</v>
      </c>
      <c r="K26" s="1" t="s">
        <v>191</v>
      </c>
      <c r="L26" s="1" t="s">
        <v>192</v>
      </c>
      <c r="M26" s="1" t="s">
        <v>192</v>
      </c>
      <c r="N26" s="1" t="b">
        <v>1</v>
      </c>
      <c r="O26" s="1">
        <v>4</v>
      </c>
    </row>
    <row r="27" spans="1:15" x14ac:dyDescent="0.25">
      <c r="A27" s="1" t="s">
        <v>39</v>
      </c>
      <c r="B27" s="1" t="s">
        <v>132</v>
      </c>
      <c r="C27" s="1" t="s">
        <v>150</v>
      </c>
      <c r="D27" s="1" t="s">
        <v>159</v>
      </c>
      <c r="E27" s="1" t="s">
        <v>161</v>
      </c>
      <c r="F27" s="1" t="s">
        <v>168</v>
      </c>
      <c r="G27" s="1" t="s">
        <v>174</v>
      </c>
      <c r="H27" s="1" t="s">
        <v>180</v>
      </c>
      <c r="I27" s="1" t="s">
        <v>184</v>
      </c>
      <c r="J27" s="1" t="s">
        <v>188</v>
      </c>
      <c r="K27" s="1" t="s">
        <v>191</v>
      </c>
      <c r="L27" s="1" t="s">
        <v>204</v>
      </c>
      <c r="M27" s="1" t="s">
        <v>217</v>
      </c>
      <c r="N27" s="1" t="b">
        <v>0</v>
      </c>
      <c r="O27" s="1">
        <v>1</v>
      </c>
    </row>
    <row r="28" spans="1:15" x14ac:dyDescent="0.25">
      <c r="A28" s="1" t="s">
        <v>40</v>
      </c>
      <c r="B28" s="1" t="s">
        <v>129</v>
      </c>
      <c r="C28" s="1" t="s">
        <v>154</v>
      </c>
      <c r="D28" s="1" t="s">
        <v>157</v>
      </c>
      <c r="E28" s="1" t="s">
        <v>163</v>
      </c>
      <c r="F28" s="1" t="s">
        <v>170</v>
      </c>
      <c r="G28" s="1" t="s">
        <v>177</v>
      </c>
      <c r="H28" s="1" t="s">
        <v>181</v>
      </c>
      <c r="I28" s="1" t="s">
        <v>184</v>
      </c>
      <c r="J28" s="1" t="s">
        <v>188</v>
      </c>
      <c r="K28" s="1" t="s">
        <v>191</v>
      </c>
      <c r="L28" s="1" t="s">
        <v>194</v>
      </c>
      <c r="M28" s="1" t="s">
        <v>194</v>
      </c>
      <c r="N28" s="1" t="b">
        <v>1</v>
      </c>
      <c r="O28" s="1">
        <v>3</v>
      </c>
    </row>
    <row r="29" spans="1:15" x14ac:dyDescent="0.25">
      <c r="A29" s="1" t="s">
        <v>41</v>
      </c>
      <c r="B29" s="1" t="s">
        <v>136</v>
      </c>
      <c r="C29" s="1" t="s">
        <v>150</v>
      </c>
      <c r="D29" s="1" t="s">
        <v>159</v>
      </c>
      <c r="E29" s="1" t="s">
        <v>161</v>
      </c>
      <c r="F29" s="1" t="s">
        <v>167</v>
      </c>
      <c r="G29" s="1" t="s">
        <v>176</v>
      </c>
      <c r="H29" s="1" t="s">
        <v>181</v>
      </c>
      <c r="I29" s="1" t="s">
        <v>184</v>
      </c>
      <c r="J29" s="1" t="s">
        <v>188</v>
      </c>
      <c r="K29" s="1" t="s">
        <v>191</v>
      </c>
      <c r="L29" s="1" t="s">
        <v>199</v>
      </c>
      <c r="M29" s="1" t="s">
        <v>214</v>
      </c>
      <c r="N29" s="1" t="b">
        <v>0</v>
      </c>
      <c r="O29" s="1">
        <v>1</v>
      </c>
    </row>
    <row r="30" spans="1:15" x14ac:dyDescent="0.25">
      <c r="A30" s="1" t="s">
        <v>42</v>
      </c>
      <c r="B30" s="1" t="s">
        <v>133</v>
      </c>
      <c r="C30" s="1" t="s">
        <v>149</v>
      </c>
      <c r="D30" s="1" t="s">
        <v>160</v>
      </c>
      <c r="E30" s="1" t="s">
        <v>164</v>
      </c>
      <c r="F30" s="1" t="s">
        <v>168</v>
      </c>
      <c r="G30" s="1" t="s">
        <v>178</v>
      </c>
      <c r="H30" s="1" t="s">
        <v>180</v>
      </c>
      <c r="I30" s="1" t="s">
        <v>184</v>
      </c>
      <c r="J30" s="1" t="s">
        <v>188</v>
      </c>
      <c r="K30" s="1" t="s">
        <v>191</v>
      </c>
      <c r="L30" s="1" t="s">
        <v>199</v>
      </c>
      <c r="M30" s="1" t="s">
        <v>214</v>
      </c>
      <c r="N30" s="1" t="b">
        <v>0</v>
      </c>
      <c r="O30" s="1">
        <v>4</v>
      </c>
    </row>
    <row r="31" spans="1:15" x14ac:dyDescent="0.25">
      <c r="A31" s="1" t="s">
        <v>43</v>
      </c>
      <c r="B31" s="1" t="s">
        <v>123</v>
      </c>
      <c r="C31" s="1" t="s">
        <v>149</v>
      </c>
      <c r="D31" s="1" t="s">
        <v>159</v>
      </c>
      <c r="E31" s="1" t="s">
        <v>162</v>
      </c>
      <c r="F31" s="1" t="s">
        <v>168</v>
      </c>
      <c r="G31" s="1" t="s">
        <v>175</v>
      </c>
      <c r="H31" s="1" t="s">
        <v>181</v>
      </c>
      <c r="I31" s="1" t="s">
        <v>184</v>
      </c>
      <c r="J31" s="1" t="s">
        <v>188</v>
      </c>
      <c r="K31" s="1" t="s">
        <v>191</v>
      </c>
      <c r="L31" s="1" t="s">
        <v>195</v>
      </c>
      <c r="M31" s="1" t="s">
        <v>212</v>
      </c>
      <c r="N31" s="1" t="b">
        <v>0</v>
      </c>
      <c r="O31" s="1">
        <v>2</v>
      </c>
    </row>
    <row r="32" spans="1:15" x14ac:dyDescent="0.25">
      <c r="A32" s="1" t="s">
        <v>42</v>
      </c>
      <c r="B32" s="1" t="s">
        <v>133</v>
      </c>
      <c r="C32" s="1" t="s">
        <v>149</v>
      </c>
      <c r="D32" s="1" t="s">
        <v>158</v>
      </c>
      <c r="E32" s="1" t="s">
        <v>162</v>
      </c>
      <c r="F32" s="1" t="s">
        <v>168</v>
      </c>
      <c r="G32" s="1" t="s">
        <v>175</v>
      </c>
      <c r="H32" s="1" t="s">
        <v>181</v>
      </c>
      <c r="I32" s="1" t="s">
        <v>182</v>
      </c>
      <c r="J32" s="1" t="s">
        <v>188</v>
      </c>
      <c r="K32" s="1" t="s">
        <v>191</v>
      </c>
      <c r="L32" s="1" t="s">
        <v>205</v>
      </c>
      <c r="M32" s="1" t="s">
        <v>205</v>
      </c>
      <c r="N32" s="1" t="b">
        <v>1</v>
      </c>
      <c r="O32" s="1">
        <v>2</v>
      </c>
    </row>
    <row r="33" spans="1:15" x14ac:dyDescent="0.25">
      <c r="A33" s="1" t="s">
        <v>44</v>
      </c>
      <c r="B33" s="1" t="s">
        <v>126</v>
      </c>
      <c r="C33" s="1" t="s">
        <v>151</v>
      </c>
      <c r="D33" s="1" t="s">
        <v>159</v>
      </c>
      <c r="E33" s="1" t="s">
        <v>162</v>
      </c>
      <c r="F33" s="1" t="s">
        <v>168</v>
      </c>
      <c r="G33" s="1" t="s">
        <v>175</v>
      </c>
      <c r="H33" s="1" t="s">
        <v>181</v>
      </c>
      <c r="I33" s="1" t="s">
        <v>185</v>
      </c>
      <c r="J33" s="1" t="s">
        <v>188</v>
      </c>
      <c r="K33" s="1" t="s">
        <v>191</v>
      </c>
      <c r="L33" s="1" t="s">
        <v>204</v>
      </c>
      <c r="M33" s="1" t="s">
        <v>217</v>
      </c>
      <c r="N33" s="1" t="b">
        <v>0</v>
      </c>
      <c r="O33" s="1">
        <v>2</v>
      </c>
    </row>
    <row r="34" spans="1:15" x14ac:dyDescent="0.25">
      <c r="A34" s="1" t="s">
        <v>45</v>
      </c>
      <c r="B34" s="1" t="s">
        <v>125</v>
      </c>
      <c r="C34" s="1" t="s">
        <v>148</v>
      </c>
      <c r="D34" s="1" t="s">
        <v>157</v>
      </c>
      <c r="E34" s="1" t="s">
        <v>162</v>
      </c>
      <c r="F34" s="1" t="s">
        <v>168</v>
      </c>
      <c r="G34" s="1" t="s">
        <v>175</v>
      </c>
      <c r="H34" s="1" t="s">
        <v>180</v>
      </c>
      <c r="I34" s="1" t="s">
        <v>185</v>
      </c>
      <c r="J34" s="1" t="s">
        <v>188</v>
      </c>
      <c r="K34" s="1" t="s">
        <v>191</v>
      </c>
      <c r="L34" s="1" t="s">
        <v>193</v>
      </c>
      <c r="M34" s="1" t="s">
        <v>193</v>
      </c>
      <c r="N34" s="1" t="b">
        <v>1</v>
      </c>
      <c r="O34" s="1">
        <v>2</v>
      </c>
    </row>
    <row r="35" spans="1:15" x14ac:dyDescent="0.25">
      <c r="A35" s="1" t="s">
        <v>42</v>
      </c>
      <c r="B35" s="1" t="s">
        <v>133</v>
      </c>
      <c r="C35" s="1" t="s">
        <v>149</v>
      </c>
      <c r="D35" s="1" t="s">
        <v>158</v>
      </c>
      <c r="E35" s="1" t="s">
        <v>162</v>
      </c>
      <c r="F35" s="1" t="s">
        <v>168</v>
      </c>
      <c r="G35" s="1" t="s">
        <v>175</v>
      </c>
      <c r="H35" s="1" t="s">
        <v>181</v>
      </c>
      <c r="I35" s="1" t="s">
        <v>183</v>
      </c>
      <c r="J35" s="1" t="s">
        <v>188</v>
      </c>
      <c r="K35" s="1" t="s">
        <v>191</v>
      </c>
      <c r="L35" s="1" t="s">
        <v>206</v>
      </c>
      <c r="M35" s="1" t="s">
        <v>206</v>
      </c>
      <c r="N35" s="1" t="b">
        <v>1</v>
      </c>
      <c r="O35" s="1">
        <v>2</v>
      </c>
    </row>
    <row r="36" spans="1:15" x14ac:dyDescent="0.25">
      <c r="A36" s="1" t="s">
        <v>46</v>
      </c>
      <c r="B36" s="1" t="s">
        <v>126</v>
      </c>
      <c r="C36" s="1" t="s">
        <v>154</v>
      </c>
      <c r="D36" s="1" t="s">
        <v>157</v>
      </c>
      <c r="E36" s="1" t="s">
        <v>161</v>
      </c>
      <c r="F36" s="1" t="s">
        <v>168</v>
      </c>
      <c r="G36" s="1" t="s">
        <v>174</v>
      </c>
      <c r="H36" s="1" t="s">
        <v>181</v>
      </c>
      <c r="I36" s="1" t="s">
        <v>184</v>
      </c>
      <c r="J36" s="1" t="s">
        <v>188</v>
      </c>
      <c r="K36" s="1" t="s">
        <v>191</v>
      </c>
      <c r="L36" s="1" t="s">
        <v>201</v>
      </c>
      <c r="M36" s="1" t="s">
        <v>201</v>
      </c>
      <c r="N36" s="1" t="b">
        <v>1</v>
      </c>
      <c r="O36" s="1">
        <v>1</v>
      </c>
    </row>
    <row r="37" spans="1:15" x14ac:dyDescent="0.25">
      <c r="A37" s="1" t="s">
        <v>47</v>
      </c>
      <c r="B37" s="1" t="s">
        <v>137</v>
      </c>
      <c r="C37" s="1" t="s">
        <v>151</v>
      </c>
      <c r="D37" s="1" t="s">
        <v>157</v>
      </c>
      <c r="E37" s="1" t="s">
        <v>161</v>
      </c>
      <c r="F37" s="1" t="s">
        <v>170</v>
      </c>
      <c r="G37" s="1" t="s">
        <v>174</v>
      </c>
      <c r="H37" s="1" t="s">
        <v>181</v>
      </c>
      <c r="I37" s="1" t="s">
        <v>184</v>
      </c>
      <c r="J37" s="1" t="s">
        <v>188</v>
      </c>
      <c r="K37" s="1" t="s">
        <v>191</v>
      </c>
      <c r="L37" s="1" t="s">
        <v>202</v>
      </c>
      <c r="M37" s="1" t="s">
        <v>202</v>
      </c>
      <c r="N37" s="1" t="b">
        <v>1</v>
      </c>
      <c r="O37" s="1">
        <v>1</v>
      </c>
    </row>
    <row r="38" spans="1:15" x14ac:dyDescent="0.25">
      <c r="A38" s="1" t="s">
        <v>19</v>
      </c>
      <c r="B38" s="1" t="s">
        <v>126</v>
      </c>
      <c r="C38" s="1" t="s">
        <v>151</v>
      </c>
      <c r="D38" s="1" t="s">
        <v>159</v>
      </c>
      <c r="E38" s="1" t="s">
        <v>162</v>
      </c>
      <c r="F38" s="1" t="s">
        <v>170</v>
      </c>
      <c r="G38" s="1" t="s">
        <v>175</v>
      </c>
      <c r="H38" s="1" t="s">
        <v>181</v>
      </c>
      <c r="I38" s="1" t="s">
        <v>184</v>
      </c>
      <c r="J38" s="1" t="s">
        <v>188</v>
      </c>
      <c r="K38" s="1" t="s">
        <v>191</v>
      </c>
      <c r="L38" s="1" t="s">
        <v>207</v>
      </c>
      <c r="M38" s="1" t="s">
        <v>218</v>
      </c>
      <c r="N38" s="1" t="b">
        <v>1</v>
      </c>
      <c r="O38" s="1">
        <v>2</v>
      </c>
    </row>
    <row r="39" spans="1:15" x14ac:dyDescent="0.25">
      <c r="A39" s="1" t="s">
        <v>48</v>
      </c>
      <c r="B39" s="1" t="s">
        <v>123</v>
      </c>
      <c r="C39" s="1" t="s">
        <v>149</v>
      </c>
      <c r="D39" s="1" t="s">
        <v>157</v>
      </c>
      <c r="E39" s="1" t="s">
        <v>161</v>
      </c>
      <c r="F39" s="1" t="s">
        <v>168</v>
      </c>
      <c r="G39" s="1" t="s">
        <v>176</v>
      </c>
      <c r="H39" s="1" t="s">
        <v>181</v>
      </c>
      <c r="I39" s="1" t="s">
        <v>182</v>
      </c>
      <c r="J39" s="1" t="s">
        <v>189</v>
      </c>
      <c r="K39" s="1" t="s">
        <v>190</v>
      </c>
      <c r="L39" s="1" t="s">
        <v>198</v>
      </c>
      <c r="M39" s="1" t="s">
        <v>198</v>
      </c>
      <c r="N39" s="1" t="b">
        <v>1</v>
      </c>
      <c r="O39" s="1">
        <v>1</v>
      </c>
    </row>
    <row r="40" spans="1:15" x14ac:dyDescent="0.25">
      <c r="A40" s="1" t="s">
        <v>49</v>
      </c>
      <c r="B40" s="1" t="s">
        <v>138</v>
      </c>
      <c r="C40" s="1" t="s">
        <v>148</v>
      </c>
      <c r="D40" s="1" t="s">
        <v>157</v>
      </c>
      <c r="E40" s="1" t="s">
        <v>163</v>
      </c>
      <c r="F40" s="1" t="s">
        <v>169</v>
      </c>
      <c r="G40" s="1" t="s">
        <v>177</v>
      </c>
      <c r="H40" s="1" t="s">
        <v>180</v>
      </c>
      <c r="I40" s="1" t="s">
        <v>182</v>
      </c>
      <c r="J40" s="1" t="s">
        <v>188</v>
      </c>
      <c r="K40" s="1" t="s">
        <v>191</v>
      </c>
      <c r="L40" s="1" t="s">
        <v>197</v>
      </c>
      <c r="M40" s="1" t="s">
        <v>197</v>
      </c>
      <c r="N40" s="1" t="b">
        <v>1</v>
      </c>
      <c r="O40" s="1">
        <v>3</v>
      </c>
    </row>
    <row r="41" spans="1:15" x14ac:dyDescent="0.25">
      <c r="A41" s="1" t="s">
        <v>32</v>
      </c>
      <c r="B41" s="1" t="s">
        <v>139</v>
      </c>
      <c r="C41" s="1" t="s">
        <v>152</v>
      </c>
      <c r="D41" s="1" t="s">
        <v>157</v>
      </c>
      <c r="E41" s="1" t="s">
        <v>161</v>
      </c>
      <c r="F41" s="1" t="s">
        <v>172</v>
      </c>
      <c r="G41" s="1" t="s">
        <v>176</v>
      </c>
      <c r="H41" s="1" t="s">
        <v>180</v>
      </c>
      <c r="I41" s="1" t="s">
        <v>184</v>
      </c>
      <c r="J41" s="1" t="s">
        <v>189</v>
      </c>
      <c r="K41" s="1" t="s">
        <v>190</v>
      </c>
      <c r="L41" s="1" t="s">
        <v>193</v>
      </c>
      <c r="M41" s="1" t="s">
        <v>193</v>
      </c>
      <c r="N41" s="1" t="b">
        <v>1</v>
      </c>
      <c r="O41" s="1">
        <v>1</v>
      </c>
    </row>
    <row r="42" spans="1:15" x14ac:dyDescent="0.25">
      <c r="A42" s="1" t="s">
        <v>50</v>
      </c>
      <c r="B42" s="1" t="s">
        <v>138</v>
      </c>
      <c r="C42" s="1" t="s">
        <v>150</v>
      </c>
      <c r="D42" s="1" t="s">
        <v>157</v>
      </c>
      <c r="E42" s="1" t="s">
        <v>161</v>
      </c>
      <c r="F42" s="1" t="s">
        <v>168</v>
      </c>
      <c r="G42" s="1" t="s">
        <v>176</v>
      </c>
      <c r="H42" s="1" t="s">
        <v>180</v>
      </c>
      <c r="I42" s="1" t="s">
        <v>184</v>
      </c>
      <c r="J42" s="1" t="s">
        <v>189</v>
      </c>
      <c r="K42" s="1" t="s">
        <v>190</v>
      </c>
      <c r="L42" s="1" t="s">
        <v>192</v>
      </c>
      <c r="M42" s="1" t="s">
        <v>192</v>
      </c>
      <c r="N42" s="1" t="b">
        <v>1</v>
      </c>
      <c r="O42" s="1">
        <v>1</v>
      </c>
    </row>
    <row r="43" spans="1:15" x14ac:dyDescent="0.25">
      <c r="A43" s="1" t="s">
        <v>51</v>
      </c>
      <c r="B43" s="1" t="s">
        <v>139</v>
      </c>
      <c r="C43" s="1" t="s">
        <v>148</v>
      </c>
      <c r="D43" s="1" t="s">
        <v>157</v>
      </c>
      <c r="E43" s="1" t="s">
        <v>163</v>
      </c>
      <c r="F43" s="1" t="s">
        <v>169</v>
      </c>
      <c r="G43" s="1" t="s">
        <v>177</v>
      </c>
      <c r="H43" s="1" t="s">
        <v>180</v>
      </c>
      <c r="I43" s="1" t="s">
        <v>183</v>
      </c>
      <c r="J43" s="1" t="s">
        <v>188</v>
      </c>
      <c r="K43" s="1" t="s">
        <v>191</v>
      </c>
      <c r="L43" s="1" t="s">
        <v>192</v>
      </c>
      <c r="M43" s="1" t="s">
        <v>192</v>
      </c>
      <c r="N43" s="1" t="b">
        <v>1</v>
      </c>
      <c r="O43" s="1">
        <v>3</v>
      </c>
    </row>
    <row r="44" spans="1:15" x14ac:dyDescent="0.25">
      <c r="A44" s="1" t="s">
        <v>52</v>
      </c>
      <c r="B44" s="1" t="s">
        <v>140</v>
      </c>
      <c r="C44" s="1" t="s">
        <v>153</v>
      </c>
      <c r="D44" s="1" t="s">
        <v>157</v>
      </c>
      <c r="E44" s="1" t="s">
        <v>161</v>
      </c>
      <c r="F44" s="1" t="s">
        <v>172</v>
      </c>
      <c r="G44" s="1" t="s">
        <v>174</v>
      </c>
      <c r="H44" s="1" t="s">
        <v>181</v>
      </c>
      <c r="I44" s="1" t="s">
        <v>182</v>
      </c>
      <c r="J44" s="1" t="s">
        <v>188</v>
      </c>
      <c r="K44" s="1" t="s">
        <v>191</v>
      </c>
      <c r="L44" s="1" t="s">
        <v>194</v>
      </c>
      <c r="M44" s="1" t="s">
        <v>194</v>
      </c>
      <c r="N44" s="1" t="b">
        <v>1</v>
      </c>
      <c r="O44" s="1">
        <v>1</v>
      </c>
    </row>
    <row r="45" spans="1:15" x14ac:dyDescent="0.25">
      <c r="A45" s="1" t="s">
        <v>53</v>
      </c>
      <c r="B45" s="1" t="s">
        <v>134</v>
      </c>
      <c r="C45" s="1" t="s">
        <v>148</v>
      </c>
      <c r="D45" s="1" t="s">
        <v>159</v>
      </c>
      <c r="E45" s="1" t="s">
        <v>163</v>
      </c>
      <c r="F45" s="1" t="s">
        <v>170</v>
      </c>
      <c r="G45" s="1" t="s">
        <v>175</v>
      </c>
      <c r="H45" s="1" t="s">
        <v>180</v>
      </c>
      <c r="I45" s="1" t="s">
        <v>183</v>
      </c>
      <c r="J45" s="1" t="s">
        <v>188</v>
      </c>
      <c r="K45" s="1" t="s">
        <v>191</v>
      </c>
      <c r="L45" s="1" t="s">
        <v>208</v>
      </c>
      <c r="M45" s="1" t="s">
        <v>219</v>
      </c>
      <c r="N45" s="1" t="b">
        <v>0</v>
      </c>
      <c r="O45" s="1">
        <v>3</v>
      </c>
    </row>
    <row r="46" spans="1:15" x14ac:dyDescent="0.25">
      <c r="A46" s="1" t="s">
        <v>32</v>
      </c>
      <c r="B46" s="1" t="s">
        <v>141</v>
      </c>
      <c r="C46" s="1" t="s">
        <v>152</v>
      </c>
      <c r="D46" s="1" t="s">
        <v>157</v>
      </c>
      <c r="E46" s="1" t="s">
        <v>161</v>
      </c>
      <c r="F46" s="1" t="s">
        <v>172</v>
      </c>
      <c r="G46" s="1" t="s">
        <v>176</v>
      </c>
      <c r="H46" s="1" t="s">
        <v>180</v>
      </c>
      <c r="I46" s="1" t="s">
        <v>183</v>
      </c>
      <c r="J46" s="1" t="s">
        <v>189</v>
      </c>
      <c r="K46" s="1" t="s">
        <v>190</v>
      </c>
      <c r="L46" s="1" t="s">
        <v>209</v>
      </c>
      <c r="M46" s="1" t="s">
        <v>209</v>
      </c>
      <c r="N46" s="1" t="b">
        <v>1</v>
      </c>
      <c r="O46" s="1">
        <v>1</v>
      </c>
    </row>
    <row r="47" spans="1:15" x14ac:dyDescent="0.25">
      <c r="A47" s="1" t="s">
        <v>54</v>
      </c>
      <c r="B47" s="1" t="s">
        <v>133</v>
      </c>
      <c r="C47" s="1" t="s">
        <v>149</v>
      </c>
      <c r="D47" s="1" t="s">
        <v>157</v>
      </c>
      <c r="E47" s="1" t="s">
        <v>162</v>
      </c>
      <c r="F47" s="1" t="s">
        <v>172</v>
      </c>
      <c r="G47" s="1" t="s">
        <v>174</v>
      </c>
      <c r="H47" s="1" t="s">
        <v>181</v>
      </c>
      <c r="I47" s="1" t="s">
        <v>182</v>
      </c>
      <c r="J47" s="1" t="s">
        <v>188</v>
      </c>
      <c r="K47" s="1" t="s">
        <v>191</v>
      </c>
      <c r="L47" s="1" t="s">
        <v>197</v>
      </c>
      <c r="M47" s="1" t="s">
        <v>197</v>
      </c>
      <c r="N47" s="1" t="b">
        <v>1</v>
      </c>
      <c r="O47" s="1">
        <v>2</v>
      </c>
    </row>
    <row r="48" spans="1:15" x14ac:dyDescent="0.25">
      <c r="A48" s="1" t="s">
        <v>55</v>
      </c>
      <c r="B48" s="1" t="s">
        <v>127</v>
      </c>
      <c r="C48" s="1" t="s">
        <v>148</v>
      </c>
      <c r="D48" s="1" t="s">
        <v>159</v>
      </c>
      <c r="E48" s="1" t="s">
        <v>163</v>
      </c>
      <c r="F48" s="1" t="s">
        <v>172</v>
      </c>
      <c r="G48" s="1" t="s">
        <v>177</v>
      </c>
      <c r="H48" s="1" t="s">
        <v>180</v>
      </c>
      <c r="I48" s="1" t="s">
        <v>182</v>
      </c>
      <c r="J48" s="1" t="s">
        <v>188</v>
      </c>
      <c r="K48" s="1" t="s">
        <v>191</v>
      </c>
      <c r="L48" s="1" t="s">
        <v>196</v>
      </c>
      <c r="M48" s="1" t="s">
        <v>213</v>
      </c>
      <c r="N48" s="1" t="b">
        <v>0</v>
      </c>
      <c r="O48" s="1">
        <v>3</v>
      </c>
    </row>
    <row r="49" spans="1:15" x14ac:dyDescent="0.25">
      <c r="A49" s="1" t="s">
        <v>56</v>
      </c>
      <c r="B49" s="1" t="s">
        <v>125</v>
      </c>
      <c r="C49" s="1" t="s">
        <v>152</v>
      </c>
      <c r="D49" s="1" t="s">
        <v>157</v>
      </c>
      <c r="E49" s="1" t="s">
        <v>161</v>
      </c>
      <c r="F49" s="1" t="s">
        <v>167</v>
      </c>
      <c r="G49" s="1" t="s">
        <v>176</v>
      </c>
      <c r="H49" s="1" t="s">
        <v>181</v>
      </c>
      <c r="I49" s="1" t="s">
        <v>185</v>
      </c>
      <c r="J49" s="1" t="s">
        <v>189</v>
      </c>
      <c r="K49" s="1" t="s">
        <v>190</v>
      </c>
      <c r="L49" s="1" t="s">
        <v>206</v>
      </c>
      <c r="M49" s="1" t="s">
        <v>206</v>
      </c>
      <c r="N49" s="1" t="b">
        <v>1</v>
      </c>
      <c r="O49" s="1">
        <v>1</v>
      </c>
    </row>
    <row r="50" spans="1:15" x14ac:dyDescent="0.25">
      <c r="A50" s="1" t="s">
        <v>57</v>
      </c>
      <c r="B50" s="1" t="s">
        <v>128</v>
      </c>
      <c r="C50" s="1" t="s">
        <v>150</v>
      </c>
      <c r="D50" s="1" t="s">
        <v>159</v>
      </c>
      <c r="E50" s="1" t="s">
        <v>161</v>
      </c>
      <c r="F50" s="1" t="s">
        <v>168</v>
      </c>
      <c r="G50" s="1" t="s">
        <v>174</v>
      </c>
      <c r="H50" s="1" t="s">
        <v>180</v>
      </c>
      <c r="I50" s="1" t="s">
        <v>184</v>
      </c>
      <c r="J50" s="1" t="s">
        <v>188</v>
      </c>
      <c r="K50" s="1" t="s">
        <v>191</v>
      </c>
      <c r="L50" s="1" t="s">
        <v>210</v>
      </c>
      <c r="M50" s="1" t="s">
        <v>220</v>
      </c>
      <c r="N50" s="1" t="b">
        <v>0</v>
      </c>
      <c r="O50" s="1">
        <v>1</v>
      </c>
    </row>
    <row r="51" spans="1:15" x14ac:dyDescent="0.25">
      <c r="A51" s="1" t="s">
        <v>58</v>
      </c>
      <c r="B51" s="1" t="s">
        <v>129</v>
      </c>
      <c r="C51" s="1" t="s">
        <v>151</v>
      </c>
      <c r="D51" s="1" t="s">
        <v>157</v>
      </c>
      <c r="E51" s="1" t="s">
        <v>162</v>
      </c>
      <c r="F51" s="1" t="s">
        <v>172</v>
      </c>
      <c r="G51" s="1" t="s">
        <v>174</v>
      </c>
      <c r="H51" s="1" t="s">
        <v>181</v>
      </c>
      <c r="I51" s="1" t="s">
        <v>184</v>
      </c>
      <c r="J51" s="1" t="s">
        <v>188</v>
      </c>
      <c r="K51" s="1" t="s">
        <v>191</v>
      </c>
      <c r="L51" s="1" t="s">
        <v>193</v>
      </c>
      <c r="M51" s="1" t="s">
        <v>193</v>
      </c>
      <c r="N51" s="1" t="b">
        <v>1</v>
      </c>
      <c r="O51" s="1">
        <v>2</v>
      </c>
    </row>
    <row r="52" spans="1:15" x14ac:dyDescent="0.25">
      <c r="A52" s="1" t="s">
        <v>59</v>
      </c>
      <c r="B52" s="1" t="s">
        <v>138</v>
      </c>
      <c r="C52" s="1" t="s">
        <v>148</v>
      </c>
      <c r="D52" s="1" t="s">
        <v>159</v>
      </c>
      <c r="E52" s="1" t="s">
        <v>162</v>
      </c>
      <c r="F52" s="1" t="s">
        <v>168</v>
      </c>
      <c r="G52" s="1" t="s">
        <v>175</v>
      </c>
      <c r="H52" s="1" t="s">
        <v>180</v>
      </c>
      <c r="I52" s="1" t="s">
        <v>184</v>
      </c>
      <c r="J52" s="1" t="s">
        <v>188</v>
      </c>
      <c r="K52" s="1" t="s">
        <v>191</v>
      </c>
      <c r="L52" s="1" t="s">
        <v>207</v>
      </c>
      <c r="M52" s="1" t="s">
        <v>218</v>
      </c>
      <c r="N52" s="1" t="b">
        <v>1</v>
      </c>
      <c r="O52" s="1">
        <v>2</v>
      </c>
    </row>
    <row r="53" spans="1:15" x14ac:dyDescent="0.25">
      <c r="A53" s="1" t="s">
        <v>60</v>
      </c>
      <c r="B53" s="1" t="s">
        <v>142</v>
      </c>
      <c r="C53" s="1" t="s">
        <v>148</v>
      </c>
      <c r="D53" s="1" t="s">
        <v>157</v>
      </c>
      <c r="E53" s="1" t="s">
        <v>162</v>
      </c>
      <c r="F53" s="1" t="s">
        <v>168</v>
      </c>
      <c r="G53" s="1" t="s">
        <v>175</v>
      </c>
      <c r="H53" s="1" t="s">
        <v>181</v>
      </c>
      <c r="I53" s="1" t="s">
        <v>183</v>
      </c>
      <c r="J53" s="1" t="s">
        <v>188</v>
      </c>
      <c r="K53" s="1" t="s">
        <v>191</v>
      </c>
      <c r="L53" s="1" t="s">
        <v>206</v>
      </c>
      <c r="M53" s="1" t="s">
        <v>206</v>
      </c>
      <c r="N53" s="1" t="b">
        <v>1</v>
      </c>
      <c r="O53" s="1">
        <v>2</v>
      </c>
    </row>
    <row r="54" spans="1:15" x14ac:dyDescent="0.25">
      <c r="A54" s="1" t="s">
        <v>56</v>
      </c>
      <c r="B54" s="1" t="s">
        <v>125</v>
      </c>
      <c r="C54" s="1" t="s">
        <v>152</v>
      </c>
      <c r="D54" s="1" t="s">
        <v>159</v>
      </c>
      <c r="E54" s="1" t="s">
        <v>161</v>
      </c>
      <c r="F54" s="1" t="s">
        <v>168</v>
      </c>
      <c r="G54" s="1" t="s">
        <v>176</v>
      </c>
      <c r="H54" s="1" t="s">
        <v>180</v>
      </c>
      <c r="I54" s="1" t="s">
        <v>184</v>
      </c>
      <c r="J54" s="1" t="s">
        <v>189</v>
      </c>
      <c r="K54" s="1" t="s">
        <v>190</v>
      </c>
      <c r="L54" s="1" t="s">
        <v>203</v>
      </c>
      <c r="M54" s="1" t="s">
        <v>216</v>
      </c>
      <c r="N54" s="1" t="b">
        <v>0</v>
      </c>
      <c r="O54" s="1">
        <v>1</v>
      </c>
    </row>
    <row r="55" spans="1:15" x14ac:dyDescent="0.25">
      <c r="A55" s="1" t="s">
        <v>61</v>
      </c>
      <c r="B55" s="1" t="s">
        <v>125</v>
      </c>
      <c r="C55" s="1" t="s">
        <v>152</v>
      </c>
      <c r="D55" s="1" t="s">
        <v>159</v>
      </c>
      <c r="E55" s="1" t="s">
        <v>161</v>
      </c>
      <c r="F55" s="1" t="s">
        <v>172</v>
      </c>
      <c r="G55" s="1" t="s">
        <v>176</v>
      </c>
      <c r="H55" s="1" t="s">
        <v>181</v>
      </c>
      <c r="I55" s="1" t="s">
        <v>183</v>
      </c>
      <c r="J55" s="1" t="s">
        <v>189</v>
      </c>
      <c r="K55" s="1" t="s">
        <v>190</v>
      </c>
      <c r="L55" s="1" t="s">
        <v>195</v>
      </c>
      <c r="M55" s="1" t="s">
        <v>212</v>
      </c>
      <c r="N55" s="1" t="b">
        <v>0</v>
      </c>
      <c r="O55" s="1">
        <v>1</v>
      </c>
    </row>
    <row r="56" spans="1:15" x14ac:dyDescent="0.25">
      <c r="A56" s="1" t="s">
        <v>61</v>
      </c>
      <c r="B56" s="1" t="s">
        <v>125</v>
      </c>
      <c r="C56" s="1" t="s">
        <v>152</v>
      </c>
      <c r="D56" s="1" t="s">
        <v>157</v>
      </c>
      <c r="E56" s="1" t="s">
        <v>161</v>
      </c>
      <c r="F56" s="1" t="s">
        <v>169</v>
      </c>
      <c r="G56" s="1" t="s">
        <v>179</v>
      </c>
      <c r="H56" s="1" t="s">
        <v>181</v>
      </c>
      <c r="I56" s="1" t="s">
        <v>183</v>
      </c>
      <c r="J56" s="1" t="s">
        <v>189</v>
      </c>
      <c r="K56" s="1" t="s">
        <v>190</v>
      </c>
      <c r="L56" s="1" t="s">
        <v>206</v>
      </c>
      <c r="M56" s="1" t="s">
        <v>206</v>
      </c>
      <c r="N56" s="1" t="b">
        <v>1</v>
      </c>
      <c r="O56" s="1">
        <v>1</v>
      </c>
    </row>
    <row r="57" spans="1:15" x14ac:dyDescent="0.25">
      <c r="A57" s="1" t="s">
        <v>42</v>
      </c>
      <c r="B57" s="1" t="s">
        <v>133</v>
      </c>
      <c r="C57" s="1" t="s">
        <v>149</v>
      </c>
      <c r="D57" s="1" t="s">
        <v>160</v>
      </c>
      <c r="E57" s="1" t="s">
        <v>164</v>
      </c>
      <c r="F57" s="1" t="s">
        <v>170</v>
      </c>
      <c r="G57" s="1" t="s">
        <v>178</v>
      </c>
      <c r="H57" s="1" t="s">
        <v>181</v>
      </c>
      <c r="I57" s="1" t="s">
        <v>184</v>
      </c>
      <c r="J57" s="1" t="s">
        <v>188</v>
      </c>
      <c r="K57" s="1" t="s">
        <v>191</v>
      </c>
      <c r="L57" s="1" t="s">
        <v>204</v>
      </c>
      <c r="M57" s="1" t="s">
        <v>217</v>
      </c>
      <c r="N57" s="1" t="b">
        <v>0</v>
      </c>
      <c r="O57" s="1">
        <v>4</v>
      </c>
    </row>
    <row r="58" spans="1:15" x14ac:dyDescent="0.25">
      <c r="A58" s="1" t="s">
        <v>25</v>
      </c>
      <c r="B58" s="1" t="s">
        <v>126</v>
      </c>
      <c r="C58" s="1" t="s">
        <v>151</v>
      </c>
      <c r="D58" s="1" t="s">
        <v>157</v>
      </c>
      <c r="E58" s="1" t="s">
        <v>161</v>
      </c>
      <c r="F58" s="1" t="s">
        <v>167</v>
      </c>
      <c r="G58" s="1" t="s">
        <v>176</v>
      </c>
      <c r="H58" s="1" t="s">
        <v>181</v>
      </c>
      <c r="I58" s="1" t="s">
        <v>185</v>
      </c>
      <c r="J58" s="1" t="s">
        <v>188</v>
      </c>
      <c r="K58" s="1" t="s">
        <v>191</v>
      </c>
      <c r="L58" s="1" t="s">
        <v>198</v>
      </c>
      <c r="M58" s="1" t="s">
        <v>198</v>
      </c>
      <c r="N58" s="1" t="b">
        <v>1</v>
      </c>
      <c r="O58" s="1">
        <v>1</v>
      </c>
    </row>
    <row r="59" spans="1:15" x14ac:dyDescent="0.25">
      <c r="A59" s="1" t="s">
        <v>62</v>
      </c>
      <c r="B59" s="1" t="s">
        <v>126</v>
      </c>
      <c r="C59" s="1" t="s">
        <v>151</v>
      </c>
      <c r="D59" s="1" t="s">
        <v>159</v>
      </c>
      <c r="E59" s="1" t="s">
        <v>162</v>
      </c>
      <c r="F59" s="1" t="s">
        <v>170</v>
      </c>
      <c r="G59" s="1" t="s">
        <v>175</v>
      </c>
      <c r="H59" s="1" t="s">
        <v>181</v>
      </c>
      <c r="I59" s="1" t="s">
        <v>185</v>
      </c>
      <c r="J59" s="1" t="s">
        <v>188</v>
      </c>
      <c r="K59" s="1" t="s">
        <v>191</v>
      </c>
      <c r="L59" s="1" t="s">
        <v>196</v>
      </c>
      <c r="M59" s="1" t="s">
        <v>213</v>
      </c>
      <c r="N59" s="1" t="b">
        <v>0</v>
      </c>
      <c r="O59" s="1">
        <v>2</v>
      </c>
    </row>
    <row r="60" spans="1:15" x14ac:dyDescent="0.25">
      <c r="A60" s="1" t="s">
        <v>63</v>
      </c>
      <c r="B60" s="1" t="s">
        <v>143</v>
      </c>
      <c r="C60" s="1" t="s">
        <v>152</v>
      </c>
      <c r="D60" s="1" t="s">
        <v>157</v>
      </c>
      <c r="E60" s="1" t="s">
        <v>161</v>
      </c>
      <c r="F60" s="1" t="s">
        <v>167</v>
      </c>
      <c r="G60" s="1" t="s">
        <v>176</v>
      </c>
      <c r="H60" s="1" t="s">
        <v>181</v>
      </c>
      <c r="I60" s="1" t="s">
        <v>182</v>
      </c>
      <c r="J60" s="1" t="s">
        <v>188</v>
      </c>
      <c r="K60" s="1" t="s">
        <v>191</v>
      </c>
      <c r="L60" s="1" t="s">
        <v>194</v>
      </c>
      <c r="M60" s="1" t="s">
        <v>194</v>
      </c>
      <c r="N60" s="1" t="b">
        <v>1</v>
      </c>
      <c r="O60" s="1">
        <v>1</v>
      </c>
    </row>
    <row r="61" spans="1:15" x14ac:dyDescent="0.25">
      <c r="A61" s="1" t="s">
        <v>64</v>
      </c>
      <c r="B61" s="1" t="s">
        <v>133</v>
      </c>
      <c r="C61" s="1" t="s">
        <v>155</v>
      </c>
      <c r="D61" s="1" t="s">
        <v>157</v>
      </c>
      <c r="E61" s="1" t="s">
        <v>163</v>
      </c>
      <c r="F61" s="1" t="s">
        <v>168</v>
      </c>
      <c r="G61" s="1" t="s">
        <v>178</v>
      </c>
      <c r="H61" s="1" t="s">
        <v>180</v>
      </c>
      <c r="I61" s="1" t="s">
        <v>182</v>
      </c>
      <c r="J61" s="1" t="s">
        <v>188</v>
      </c>
      <c r="K61" s="1" t="s">
        <v>191</v>
      </c>
      <c r="L61" s="1" t="s">
        <v>193</v>
      </c>
      <c r="M61" s="1" t="s">
        <v>193</v>
      </c>
      <c r="N61" s="1" t="b">
        <v>1</v>
      </c>
      <c r="O61" s="1">
        <v>3</v>
      </c>
    </row>
    <row r="62" spans="1:15" x14ac:dyDescent="0.25">
      <c r="A62" s="1" t="s">
        <v>65</v>
      </c>
      <c r="B62" s="1" t="s">
        <v>125</v>
      </c>
      <c r="C62" s="1" t="s">
        <v>150</v>
      </c>
      <c r="D62" s="1" t="s">
        <v>157</v>
      </c>
      <c r="E62" s="1" t="s">
        <v>161</v>
      </c>
      <c r="F62" s="1" t="s">
        <v>172</v>
      </c>
      <c r="G62" s="1" t="s">
        <v>176</v>
      </c>
      <c r="H62" s="1" t="s">
        <v>181</v>
      </c>
      <c r="I62" s="1" t="s">
        <v>184</v>
      </c>
      <c r="J62" s="1" t="s">
        <v>189</v>
      </c>
      <c r="K62" s="1" t="s">
        <v>190</v>
      </c>
      <c r="L62" s="1" t="s">
        <v>198</v>
      </c>
      <c r="M62" s="1" t="s">
        <v>198</v>
      </c>
      <c r="N62" s="1" t="b">
        <v>1</v>
      </c>
      <c r="O62" s="1">
        <v>1</v>
      </c>
    </row>
    <row r="63" spans="1:15" x14ac:dyDescent="0.25">
      <c r="A63" s="1" t="s">
        <v>66</v>
      </c>
      <c r="B63" s="1" t="s">
        <v>133</v>
      </c>
      <c r="C63" s="1" t="s">
        <v>152</v>
      </c>
      <c r="D63" s="1" t="s">
        <v>159</v>
      </c>
      <c r="E63" s="1" t="s">
        <v>162</v>
      </c>
      <c r="F63" s="1" t="s">
        <v>168</v>
      </c>
      <c r="G63" s="1" t="s">
        <v>174</v>
      </c>
      <c r="H63" s="1" t="s">
        <v>180</v>
      </c>
      <c r="I63" s="1" t="s">
        <v>184</v>
      </c>
      <c r="J63" s="1" t="s">
        <v>188</v>
      </c>
      <c r="K63" s="1" t="s">
        <v>191</v>
      </c>
      <c r="L63" s="1" t="s">
        <v>200</v>
      </c>
      <c r="M63" s="1" t="s">
        <v>215</v>
      </c>
      <c r="N63" s="1" t="b">
        <v>0</v>
      </c>
      <c r="O63" s="1">
        <v>2</v>
      </c>
    </row>
    <row r="64" spans="1:15" x14ac:dyDescent="0.25">
      <c r="A64" s="1" t="s">
        <v>67</v>
      </c>
      <c r="B64" s="1" t="s">
        <v>144</v>
      </c>
      <c r="C64" s="1" t="s">
        <v>148</v>
      </c>
      <c r="D64" s="1" t="s">
        <v>159</v>
      </c>
      <c r="E64" s="1" t="s">
        <v>163</v>
      </c>
      <c r="F64" s="1" t="s">
        <v>168</v>
      </c>
      <c r="G64" s="1" t="s">
        <v>177</v>
      </c>
      <c r="H64" s="1" t="s">
        <v>180</v>
      </c>
      <c r="I64" s="1" t="s">
        <v>184</v>
      </c>
      <c r="J64" s="1" t="s">
        <v>188</v>
      </c>
      <c r="K64" s="1" t="s">
        <v>191</v>
      </c>
      <c r="L64" s="1" t="s">
        <v>207</v>
      </c>
      <c r="M64" s="1" t="s">
        <v>218</v>
      </c>
      <c r="N64" s="1" t="b">
        <v>1</v>
      </c>
      <c r="O64" s="1">
        <v>3</v>
      </c>
    </row>
    <row r="65" spans="1:15" x14ac:dyDescent="0.25">
      <c r="A65" s="1" t="s">
        <v>68</v>
      </c>
      <c r="B65" s="1" t="s">
        <v>145</v>
      </c>
      <c r="C65" s="1" t="s">
        <v>156</v>
      </c>
      <c r="D65" s="1" t="s">
        <v>159</v>
      </c>
      <c r="E65" s="1" t="s">
        <v>164</v>
      </c>
      <c r="F65" s="1" t="s">
        <v>170</v>
      </c>
      <c r="G65" s="1" t="s">
        <v>178</v>
      </c>
      <c r="H65" s="1" t="s">
        <v>180</v>
      </c>
      <c r="I65" s="1" t="s">
        <v>182</v>
      </c>
      <c r="J65" s="1" t="s">
        <v>188</v>
      </c>
      <c r="K65" s="1" t="s">
        <v>191</v>
      </c>
      <c r="L65" s="1" t="s">
        <v>210</v>
      </c>
      <c r="M65" s="1" t="s">
        <v>220</v>
      </c>
      <c r="N65" s="1" t="b">
        <v>0</v>
      </c>
      <c r="O65" s="1">
        <v>4</v>
      </c>
    </row>
    <row r="66" spans="1:15" x14ac:dyDescent="0.25">
      <c r="A66" s="1" t="s">
        <v>69</v>
      </c>
      <c r="B66" s="1" t="s">
        <v>125</v>
      </c>
      <c r="C66" s="1" t="s">
        <v>148</v>
      </c>
      <c r="D66" s="1" t="s">
        <v>159</v>
      </c>
      <c r="E66" s="1" t="s">
        <v>164</v>
      </c>
      <c r="F66" s="1" t="s">
        <v>170</v>
      </c>
      <c r="G66" s="1" t="s">
        <v>178</v>
      </c>
      <c r="H66" s="1" t="s">
        <v>180</v>
      </c>
      <c r="I66" s="1" t="s">
        <v>184</v>
      </c>
      <c r="J66" s="1" t="s">
        <v>188</v>
      </c>
      <c r="K66" s="1" t="s">
        <v>191</v>
      </c>
      <c r="L66" s="1" t="s">
        <v>211</v>
      </c>
      <c r="M66" s="1" t="s">
        <v>221</v>
      </c>
      <c r="N66" s="1" t="b">
        <v>0</v>
      </c>
      <c r="O66" s="1">
        <v>4</v>
      </c>
    </row>
    <row r="67" spans="1:15" x14ac:dyDescent="0.25">
      <c r="A67" s="1" t="s">
        <v>70</v>
      </c>
      <c r="B67" s="1" t="s">
        <v>126</v>
      </c>
      <c r="C67" s="1" t="s">
        <v>151</v>
      </c>
      <c r="D67" s="1" t="s">
        <v>157</v>
      </c>
      <c r="E67" s="1" t="s">
        <v>161</v>
      </c>
      <c r="F67" s="1" t="s">
        <v>170</v>
      </c>
      <c r="G67" s="1" t="s">
        <v>176</v>
      </c>
      <c r="H67" s="1" t="s">
        <v>181</v>
      </c>
      <c r="I67" s="1" t="s">
        <v>184</v>
      </c>
      <c r="J67" s="1" t="s">
        <v>188</v>
      </c>
      <c r="K67" s="1" t="s">
        <v>191</v>
      </c>
      <c r="L67" s="1" t="s">
        <v>197</v>
      </c>
      <c r="M67" s="1" t="s">
        <v>197</v>
      </c>
      <c r="N67" s="1" t="b">
        <v>1</v>
      </c>
      <c r="O67" s="1">
        <v>1</v>
      </c>
    </row>
    <row r="68" spans="1:15" x14ac:dyDescent="0.25">
      <c r="A68" s="1" t="s">
        <v>49</v>
      </c>
      <c r="B68" s="1" t="s">
        <v>138</v>
      </c>
      <c r="C68" s="1" t="s">
        <v>148</v>
      </c>
      <c r="D68" s="1" t="s">
        <v>159</v>
      </c>
      <c r="E68" s="1" t="s">
        <v>163</v>
      </c>
      <c r="F68" s="1" t="s">
        <v>168</v>
      </c>
      <c r="G68" s="1" t="s">
        <v>177</v>
      </c>
      <c r="H68" s="1" t="s">
        <v>180</v>
      </c>
      <c r="I68" s="1" t="s">
        <v>182</v>
      </c>
      <c r="J68" s="1" t="s">
        <v>188</v>
      </c>
      <c r="K68" s="1" t="s">
        <v>191</v>
      </c>
      <c r="L68" s="1" t="s">
        <v>208</v>
      </c>
      <c r="M68" s="1" t="s">
        <v>219</v>
      </c>
      <c r="N68" s="1" t="b">
        <v>0</v>
      </c>
      <c r="O68" s="1">
        <v>3</v>
      </c>
    </row>
    <row r="69" spans="1:15" x14ac:dyDescent="0.25">
      <c r="A69" s="1" t="s">
        <v>71</v>
      </c>
      <c r="B69" s="1" t="s">
        <v>133</v>
      </c>
      <c r="C69" s="1" t="s">
        <v>149</v>
      </c>
      <c r="D69" s="1" t="s">
        <v>160</v>
      </c>
      <c r="E69" s="1" t="s">
        <v>165</v>
      </c>
      <c r="F69" s="1" t="s">
        <v>170</v>
      </c>
      <c r="G69" s="1" t="s">
        <v>178</v>
      </c>
      <c r="H69" s="1" t="s">
        <v>180</v>
      </c>
      <c r="I69" s="1" t="s">
        <v>182</v>
      </c>
      <c r="J69" s="1" t="s">
        <v>188</v>
      </c>
      <c r="K69" s="1" t="s">
        <v>191</v>
      </c>
      <c r="L69" s="1" t="s">
        <v>195</v>
      </c>
      <c r="M69" s="1" t="s">
        <v>212</v>
      </c>
      <c r="N69" s="1" t="b">
        <v>0</v>
      </c>
      <c r="O69" s="1">
        <v>5</v>
      </c>
    </row>
    <row r="70" spans="1:15" x14ac:dyDescent="0.25">
      <c r="A70" s="1" t="s">
        <v>72</v>
      </c>
      <c r="B70" s="1" t="s">
        <v>140</v>
      </c>
      <c r="C70" s="1" t="s">
        <v>148</v>
      </c>
      <c r="D70" s="1" t="s">
        <v>157</v>
      </c>
      <c r="E70" s="1" t="s">
        <v>162</v>
      </c>
      <c r="F70" s="1" t="s">
        <v>167</v>
      </c>
      <c r="G70" s="1" t="s">
        <v>175</v>
      </c>
      <c r="H70" s="1" t="s">
        <v>180</v>
      </c>
      <c r="I70" s="1" t="s">
        <v>182</v>
      </c>
      <c r="J70" s="1" t="s">
        <v>188</v>
      </c>
      <c r="K70" s="1" t="s">
        <v>191</v>
      </c>
      <c r="L70" s="1" t="s">
        <v>198</v>
      </c>
      <c r="M70" s="1" t="s">
        <v>198</v>
      </c>
      <c r="N70" s="1" t="b">
        <v>1</v>
      </c>
      <c r="O70" s="1">
        <v>2</v>
      </c>
    </row>
    <row r="71" spans="1:15" x14ac:dyDescent="0.25">
      <c r="A71" s="1" t="s">
        <v>31</v>
      </c>
      <c r="B71" s="1" t="s">
        <v>133</v>
      </c>
      <c r="C71" s="1" t="s">
        <v>149</v>
      </c>
      <c r="D71" s="1" t="s">
        <v>157</v>
      </c>
      <c r="E71" s="1" t="s">
        <v>161</v>
      </c>
      <c r="F71" s="1" t="s">
        <v>170</v>
      </c>
      <c r="G71" s="1" t="s">
        <v>174</v>
      </c>
      <c r="H71" s="1" t="s">
        <v>181</v>
      </c>
      <c r="I71" s="1" t="s">
        <v>182</v>
      </c>
      <c r="J71" s="1" t="s">
        <v>188</v>
      </c>
      <c r="K71" s="1" t="s">
        <v>191</v>
      </c>
      <c r="L71" s="1" t="s">
        <v>192</v>
      </c>
      <c r="M71" s="1" t="s">
        <v>192</v>
      </c>
      <c r="N71" s="1" t="b">
        <v>1</v>
      </c>
      <c r="O71" s="1">
        <v>1</v>
      </c>
    </row>
    <row r="72" spans="1:15" x14ac:dyDescent="0.25">
      <c r="A72" s="1" t="s">
        <v>73</v>
      </c>
      <c r="B72" s="1" t="s">
        <v>125</v>
      </c>
      <c r="C72" s="1" t="s">
        <v>155</v>
      </c>
      <c r="D72" s="1" t="s">
        <v>157</v>
      </c>
      <c r="E72" s="1" t="s">
        <v>162</v>
      </c>
      <c r="F72" s="1" t="s">
        <v>168</v>
      </c>
      <c r="G72" s="1" t="s">
        <v>175</v>
      </c>
      <c r="H72" s="1" t="s">
        <v>181</v>
      </c>
      <c r="I72" s="1" t="s">
        <v>182</v>
      </c>
      <c r="J72" s="1" t="s">
        <v>188</v>
      </c>
      <c r="K72" s="1" t="s">
        <v>191</v>
      </c>
      <c r="L72" s="1" t="s">
        <v>206</v>
      </c>
      <c r="M72" s="1" t="s">
        <v>206</v>
      </c>
      <c r="N72" s="1" t="b">
        <v>1</v>
      </c>
      <c r="O72" s="1">
        <v>2</v>
      </c>
    </row>
    <row r="73" spans="1:15" x14ac:dyDescent="0.25">
      <c r="A73" s="1" t="s">
        <v>74</v>
      </c>
      <c r="B73" s="1" t="s">
        <v>133</v>
      </c>
      <c r="C73" s="1" t="s">
        <v>149</v>
      </c>
      <c r="D73" s="1" t="s">
        <v>160</v>
      </c>
      <c r="E73" s="1" t="s">
        <v>166</v>
      </c>
      <c r="F73" s="1" t="s">
        <v>170</v>
      </c>
      <c r="G73" s="1" t="s">
        <v>178</v>
      </c>
      <c r="H73" s="1" t="s">
        <v>181</v>
      </c>
      <c r="I73" s="1" t="s">
        <v>184</v>
      </c>
      <c r="J73" s="1" t="s">
        <v>188</v>
      </c>
      <c r="K73" s="1" t="s">
        <v>191</v>
      </c>
      <c r="L73" s="1" t="s">
        <v>200</v>
      </c>
      <c r="M73" s="1" t="s">
        <v>215</v>
      </c>
      <c r="N73" s="1" t="b">
        <v>0</v>
      </c>
      <c r="O73" s="1">
        <v>6</v>
      </c>
    </row>
    <row r="74" spans="1:15" x14ac:dyDescent="0.25">
      <c r="A74" s="1" t="s">
        <v>56</v>
      </c>
      <c r="B74" s="1" t="s">
        <v>125</v>
      </c>
      <c r="C74" s="1" t="s">
        <v>152</v>
      </c>
      <c r="D74" s="1" t="s">
        <v>159</v>
      </c>
      <c r="E74" s="1" t="s">
        <v>161</v>
      </c>
      <c r="F74" s="1" t="s">
        <v>172</v>
      </c>
      <c r="G74" s="1" t="s">
        <v>176</v>
      </c>
      <c r="H74" s="1" t="s">
        <v>180</v>
      </c>
      <c r="I74" s="1" t="s">
        <v>184</v>
      </c>
      <c r="J74" s="1" t="s">
        <v>189</v>
      </c>
      <c r="K74" s="1" t="s">
        <v>190</v>
      </c>
      <c r="L74" s="1" t="s">
        <v>204</v>
      </c>
      <c r="M74" s="1" t="s">
        <v>217</v>
      </c>
      <c r="N74" s="1" t="b">
        <v>0</v>
      </c>
      <c r="O74" s="1">
        <v>1</v>
      </c>
    </row>
    <row r="75" spans="1:15" x14ac:dyDescent="0.25">
      <c r="A75" s="1" t="s">
        <v>75</v>
      </c>
      <c r="B75" s="1" t="s">
        <v>137</v>
      </c>
      <c r="C75" s="1" t="s">
        <v>154</v>
      </c>
      <c r="D75" s="1" t="s">
        <v>157</v>
      </c>
      <c r="E75" s="1" t="s">
        <v>162</v>
      </c>
      <c r="F75" s="1" t="s">
        <v>167</v>
      </c>
      <c r="G75" s="1" t="s">
        <v>175</v>
      </c>
      <c r="H75" s="1" t="s">
        <v>181</v>
      </c>
      <c r="I75" s="1" t="s">
        <v>183</v>
      </c>
      <c r="J75" s="1" t="s">
        <v>188</v>
      </c>
      <c r="K75" s="1" t="s">
        <v>191</v>
      </c>
      <c r="L75" s="1" t="s">
        <v>201</v>
      </c>
      <c r="M75" s="1" t="s">
        <v>201</v>
      </c>
      <c r="N75" s="1" t="b">
        <v>1</v>
      </c>
      <c r="O75" s="1">
        <v>2</v>
      </c>
    </row>
    <row r="76" spans="1:15" x14ac:dyDescent="0.25">
      <c r="A76" s="1" t="s">
        <v>42</v>
      </c>
      <c r="B76" s="1" t="s">
        <v>133</v>
      </c>
      <c r="C76" s="1" t="s">
        <v>149</v>
      </c>
      <c r="D76" s="1" t="s">
        <v>160</v>
      </c>
      <c r="E76" s="1" t="s">
        <v>164</v>
      </c>
      <c r="F76" s="1" t="s">
        <v>170</v>
      </c>
      <c r="G76" s="1" t="s">
        <v>178</v>
      </c>
      <c r="H76" s="1" t="s">
        <v>181</v>
      </c>
      <c r="I76" s="1" t="s">
        <v>183</v>
      </c>
      <c r="J76" s="1" t="s">
        <v>188</v>
      </c>
      <c r="K76" s="1" t="s">
        <v>191</v>
      </c>
      <c r="L76" s="1" t="s">
        <v>195</v>
      </c>
      <c r="M76" s="1" t="s">
        <v>212</v>
      </c>
      <c r="N76" s="1" t="b">
        <v>0</v>
      </c>
      <c r="O76" s="1">
        <v>4</v>
      </c>
    </row>
    <row r="77" spans="1:15" x14ac:dyDescent="0.25">
      <c r="A77" s="1" t="s">
        <v>76</v>
      </c>
      <c r="B77" s="1" t="s">
        <v>126</v>
      </c>
      <c r="C77" s="1" t="s">
        <v>151</v>
      </c>
      <c r="D77" s="1" t="s">
        <v>157</v>
      </c>
      <c r="E77" s="1" t="s">
        <v>161</v>
      </c>
      <c r="F77" s="1" t="s">
        <v>170</v>
      </c>
      <c r="G77" s="1" t="s">
        <v>174</v>
      </c>
      <c r="H77" s="1" t="s">
        <v>181</v>
      </c>
      <c r="I77" s="1" t="s">
        <v>184</v>
      </c>
      <c r="J77" s="1" t="s">
        <v>188</v>
      </c>
      <c r="K77" s="1" t="s">
        <v>191</v>
      </c>
      <c r="L77" s="1" t="s">
        <v>192</v>
      </c>
      <c r="M77" s="1" t="s">
        <v>192</v>
      </c>
      <c r="N77" s="1" t="b">
        <v>1</v>
      </c>
      <c r="O77" s="1">
        <v>1</v>
      </c>
    </row>
    <row r="78" spans="1:15" x14ac:dyDescent="0.25">
      <c r="A78" s="1" t="s">
        <v>77</v>
      </c>
      <c r="B78" s="1" t="s">
        <v>129</v>
      </c>
      <c r="C78" s="1" t="s">
        <v>154</v>
      </c>
      <c r="D78" s="1" t="s">
        <v>157</v>
      </c>
      <c r="E78" s="1" t="s">
        <v>162</v>
      </c>
      <c r="F78" s="1" t="s">
        <v>167</v>
      </c>
      <c r="G78" s="1" t="s">
        <v>174</v>
      </c>
      <c r="H78" s="1" t="s">
        <v>181</v>
      </c>
      <c r="I78" s="1" t="s">
        <v>184</v>
      </c>
      <c r="J78" s="1" t="s">
        <v>188</v>
      </c>
      <c r="K78" s="1" t="s">
        <v>191</v>
      </c>
      <c r="L78" s="1" t="s">
        <v>206</v>
      </c>
      <c r="M78" s="1" t="s">
        <v>206</v>
      </c>
      <c r="N78" s="1" t="b">
        <v>1</v>
      </c>
      <c r="O78" s="1">
        <v>2</v>
      </c>
    </row>
    <row r="79" spans="1:15" x14ac:dyDescent="0.25">
      <c r="A79" s="1" t="s">
        <v>78</v>
      </c>
      <c r="B79" s="1" t="s">
        <v>133</v>
      </c>
      <c r="C79" s="1" t="s">
        <v>149</v>
      </c>
      <c r="D79" s="1" t="s">
        <v>159</v>
      </c>
      <c r="E79" s="1" t="s">
        <v>163</v>
      </c>
      <c r="F79" s="1" t="s">
        <v>167</v>
      </c>
      <c r="G79" s="1" t="s">
        <v>177</v>
      </c>
      <c r="H79" s="1" t="s">
        <v>181</v>
      </c>
      <c r="I79" s="1" t="s">
        <v>183</v>
      </c>
      <c r="J79" s="1" t="s">
        <v>189</v>
      </c>
      <c r="K79" s="1" t="s">
        <v>190</v>
      </c>
      <c r="L79" s="1" t="s">
        <v>204</v>
      </c>
      <c r="M79" s="1" t="s">
        <v>217</v>
      </c>
      <c r="N79" s="1" t="b">
        <v>0</v>
      </c>
      <c r="O79" s="1">
        <v>3</v>
      </c>
    </row>
    <row r="80" spans="1:15" x14ac:dyDescent="0.25">
      <c r="A80" s="1" t="s">
        <v>42</v>
      </c>
      <c r="B80" s="1" t="s">
        <v>133</v>
      </c>
      <c r="C80" s="1" t="s">
        <v>149</v>
      </c>
      <c r="D80" s="1" t="s">
        <v>158</v>
      </c>
      <c r="E80" s="1" t="s">
        <v>163</v>
      </c>
      <c r="F80" s="1" t="s">
        <v>168</v>
      </c>
      <c r="G80" s="1" t="s">
        <v>177</v>
      </c>
      <c r="H80" s="1" t="s">
        <v>181</v>
      </c>
      <c r="I80" s="1" t="s">
        <v>184</v>
      </c>
      <c r="J80" s="1" t="s">
        <v>188</v>
      </c>
      <c r="K80" s="1" t="s">
        <v>191</v>
      </c>
      <c r="L80" s="1" t="s">
        <v>193</v>
      </c>
      <c r="M80" s="1" t="s">
        <v>193</v>
      </c>
      <c r="N80" s="1" t="b">
        <v>1</v>
      </c>
      <c r="O80" s="1">
        <v>3</v>
      </c>
    </row>
    <row r="81" spans="1:15" x14ac:dyDescent="0.25">
      <c r="A81" s="1" t="s">
        <v>31</v>
      </c>
      <c r="B81" s="1" t="s">
        <v>133</v>
      </c>
      <c r="C81" s="1" t="s">
        <v>149</v>
      </c>
      <c r="D81" s="1" t="s">
        <v>159</v>
      </c>
      <c r="E81" s="1" t="s">
        <v>162</v>
      </c>
      <c r="F81" s="1" t="s">
        <v>172</v>
      </c>
      <c r="G81" s="1" t="s">
        <v>175</v>
      </c>
      <c r="H81" s="1" t="s">
        <v>181</v>
      </c>
      <c r="I81" s="1" t="s">
        <v>184</v>
      </c>
      <c r="J81" s="1" t="s">
        <v>188</v>
      </c>
      <c r="K81" s="1" t="s">
        <v>191</v>
      </c>
      <c r="L81" s="1" t="s">
        <v>210</v>
      </c>
      <c r="M81" s="1" t="s">
        <v>220</v>
      </c>
      <c r="N81" s="1" t="b">
        <v>0</v>
      </c>
      <c r="O81" s="1">
        <v>2</v>
      </c>
    </row>
    <row r="82" spans="1:15" x14ac:dyDescent="0.25">
      <c r="A82" s="1" t="s">
        <v>79</v>
      </c>
      <c r="B82" s="1" t="s">
        <v>122</v>
      </c>
      <c r="C82" s="1" t="s">
        <v>156</v>
      </c>
      <c r="D82" s="1" t="s">
        <v>159</v>
      </c>
      <c r="E82" s="1" t="s">
        <v>164</v>
      </c>
      <c r="F82" s="1" t="s">
        <v>170</v>
      </c>
      <c r="G82" s="1" t="s">
        <v>178</v>
      </c>
      <c r="H82" s="1" t="s">
        <v>180</v>
      </c>
      <c r="I82" s="1" t="s">
        <v>185</v>
      </c>
      <c r="J82" s="1" t="s">
        <v>188</v>
      </c>
      <c r="K82" s="1" t="s">
        <v>191</v>
      </c>
      <c r="L82" s="1" t="s">
        <v>199</v>
      </c>
      <c r="M82" s="1" t="s">
        <v>214</v>
      </c>
      <c r="N82" s="1" t="b">
        <v>0</v>
      </c>
      <c r="O82" s="1">
        <v>4</v>
      </c>
    </row>
    <row r="83" spans="1:15" x14ac:dyDescent="0.25">
      <c r="A83" s="1" t="s">
        <v>80</v>
      </c>
      <c r="B83" s="1" t="s">
        <v>125</v>
      </c>
      <c r="C83" s="1" t="s">
        <v>150</v>
      </c>
      <c r="D83" s="1" t="s">
        <v>159</v>
      </c>
      <c r="E83" s="1" t="s">
        <v>162</v>
      </c>
      <c r="F83" s="1" t="s">
        <v>170</v>
      </c>
      <c r="G83" s="1" t="s">
        <v>174</v>
      </c>
      <c r="H83" s="1" t="s">
        <v>180</v>
      </c>
      <c r="I83" s="1" t="s">
        <v>182</v>
      </c>
      <c r="J83" s="1" t="s">
        <v>188</v>
      </c>
      <c r="K83" s="1" t="s">
        <v>191</v>
      </c>
      <c r="L83" s="1" t="s">
        <v>199</v>
      </c>
      <c r="M83" s="1" t="s">
        <v>214</v>
      </c>
      <c r="N83" s="1" t="b">
        <v>0</v>
      </c>
      <c r="O83" s="1">
        <v>2</v>
      </c>
    </row>
    <row r="84" spans="1:15" x14ac:dyDescent="0.25">
      <c r="A84" s="1" t="s">
        <v>36</v>
      </c>
      <c r="B84" s="1" t="s">
        <v>125</v>
      </c>
      <c r="C84" s="1" t="s">
        <v>153</v>
      </c>
      <c r="D84" s="1" t="s">
        <v>159</v>
      </c>
      <c r="E84" s="1" t="s">
        <v>163</v>
      </c>
      <c r="F84" s="1" t="s">
        <v>170</v>
      </c>
      <c r="G84" s="1" t="s">
        <v>178</v>
      </c>
      <c r="H84" s="1" t="s">
        <v>180</v>
      </c>
      <c r="I84" s="1" t="s">
        <v>184</v>
      </c>
      <c r="J84" s="1" t="s">
        <v>189</v>
      </c>
      <c r="K84" s="1" t="s">
        <v>190</v>
      </c>
      <c r="L84" s="1" t="s">
        <v>200</v>
      </c>
      <c r="M84" s="1" t="s">
        <v>215</v>
      </c>
      <c r="N84" s="1" t="b">
        <v>0</v>
      </c>
      <c r="O84" s="1">
        <v>3</v>
      </c>
    </row>
    <row r="85" spans="1:15" x14ac:dyDescent="0.25">
      <c r="A85" s="1" t="s">
        <v>16</v>
      </c>
      <c r="B85" s="1" t="s">
        <v>123</v>
      </c>
      <c r="C85" s="1" t="s">
        <v>149</v>
      </c>
      <c r="D85" s="1" t="s">
        <v>160</v>
      </c>
      <c r="E85" s="1" t="s">
        <v>163</v>
      </c>
      <c r="F85" s="1" t="s">
        <v>172</v>
      </c>
      <c r="G85" s="1" t="s">
        <v>177</v>
      </c>
      <c r="H85" s="1" t="s">
        <v>181</v>
      </c>
      <c r="I85" s="1" t="s">
        <v>182</v>
      </c>
      <c r="J85" s="1" t="s">
        <v>188</v>
      </c>
      <c r="K85" s="1" t="s">
        <v>191</v>
      </c>
      <c r="L85" s="1" t="s">
        <v>203</v>
      </c>
      <c r="M85" s="1" t="s">
        <v>216</v>
      </c>
      <c r="N85" s="1" t="b">
        <v>0</v>
      </c>
      <c r="O85" s="1">
        <v>3</v>
      </c>
    </row>
    <row r="86" spans="1:15" x14ac:dyDescent="0.25">
      <c r="A86" s="1" t="s">
        <v>81</v>
      </c>
      <c r="B86" s="1" t="s">
        <v>127</v>
      </c>
      <c r="C86" s="1" t="s">
        <v>153</v>
      </c>
      <c r="D86" s="1" t="s">
        <v>159</v>
      </c>
      <c r="E86" s="1" t="s">
        <v>163</v>
      </c>
      <c r="F86" s="1" t="s">
        <v>168</v>
      </c>
      <c r="G86" s="1" t="s">
        <v>178</v>
      </c>
      <c r="H86" s="1" t="s">
        <v>181</v>
      </c>
      <c r="I86" s="1" t="s">
        <v>182</v>
      </c>
      <c r="J86" s="1" t="s">
        <v>188</v>
      </c>
      <c r="K86" s="1" t="s">
        <v>191</v>
      </c>
      <c r="L86" s="1" t="s">
        <v>208</v>
      </c>
      <c r="M86" s="1" t="s">
        <v>219</v>
      </c>
      <c r="N86" s="1" t="b">
        <v>0</v>
      </c>
      <c r="O86" s="1">
        <v>3</v>
      </c>
    </row>
    <row r="87" spans="1:15" x14ac:dyDescent="0.25">
      <c r="A87" s="1" t="s">
        <v>48</v>
      </c>
      <c r="B87" s="1" t="s">
        <v>123</v>
      </c>
      <c r="C87" s="1" t="s">
        <v>149</v>
      </c>
      <c r="D87" s="1" t="s">
        <v>157</v>
      </c>
      <c r="E87" s="1" t="s">
        <v>161</v>
      </c>
      <c r="F87" s="1" t="s">
        <v>171</v>
      </c>
      <c r="G87" s="1" t="s">
        <v>176</v>
      </c>
      <c r="H87" s="1" t="s">
        <v>181</v>
      </c>
      <c r="I87" s="1" t="s">
        <v>182</v>
      </c>
      <c r="J87" s="1" t="s">
        <v>189</v>
      </c>
      <c r="K87" s="1" t="s">
        <v>190</v>
      </c>
      <c r="L87" s="1" t="s">
        <v>201</v>
      </c>
      <c r="M87" s="1" t="s">
        <v>201</v>
      </c>
      <c r="N87" s="1" t="b">
        <v>1</v>
      </c>
      <c r="O87" s="1">
        <v>1</v>
      </c>
    </row>
    <row r="88" spans="1:15" x14ac:dyDescent="0.25">
      <c r="A88" s="1" t="s">
        <v>61</v>
      </c>
      <c r="B88" s="1" t="s">
        <v>125</v>
      </c>
      <c r="C88" s="1" t="s">
        <v>152</v>
      </c>
      <c r="D88" s="1" t="s">
        <v>157</v>
      </c>
      <c r="E88" s="1" t="s">
        <v>161</v>
      </c>
      <c r="F88" s="1" t="s">
        <v>172</v>
      </c>
      <c r="G88" s="1" t="s">
        <v>179</v>
      </c>
      <c r="H88" s="1" t="s">
        <v>181</v>
      </c>
      <c r="I88" s="1" t="s">
        <v>185</v>
      </c>
      <c r="J88" s="1" t="s">
        <v>189</v>
      </c>
      <c r="K88" s="1" t="s">
        <v>190</v>
      </c>
      <c r="L88" s="1" t="s">
        <v>202</v>
      </c>
      <c r="M88" s="1" t="s">
        <v>202</v>
      </c>
      <c r="N88" s="1" t="b">
        <v>1</v>
      </c>
      <c r="O88" s="1">
        <v>1</v>
      </c>
    </row>
    <row r="89" spans="1:15" x14ac:dyDescent="0.25">
      <c r="A89" s="1" t="s">
        <v>31</v>
      </c>
      <c r="B89" s="1" t="s">
        <v>133</v>
      </c>
      <c r="C89" s="1" t="s">
        <v>149</v>
      </c>
      <c r="D89" s="1" t="s">
        <v>157</v>
      </c>
      <c r="E89" s="1" t="s">
        <v>161</v>
      </c>
      <c r="F89" s="1" t="s">
        <v>172</v>
      </c>
      <c r="G89" s="1" t="s">
        <v>174</v>
      </c>
      <c r="H89" s="1" t="s">
        <v>181</v>
      </c>
      <c r="I89" s="1" t="s">
        <v>184</v>
      </c>
      <c r="J89" s="1" t="s">
        <v>188</v>
      </c>
      <c r="K89" s="1" t="s">
        <v>191</v>
      </c>
      <c r="L89" s="1" t="s">
        <v>202</v>
      </c>
      <c r="M89" s="1" t="s">
        <v>202</v>
      </c>
      <c r="N89" s="1" t="b">
        <v>1</v>
      </c>
      <c r="O89" s="1">
        <v>1</v>
      </c>
    </row>
    <row r="90" spans="1:15" x14ac:dyDescent="0.25">
      <c r="A90" s="1" t="s">
        <v>16</v>
      </c>
      <c r="B90" s="1" t="s">
        <v>123</v>
      </c>
      <c r="C90" s="1" t="s">
        <v>149</v>
      </c>
      <c r="D90" s="1" t="s">
        <v>160</v>
      </c>
      <c r="E90" s="1" t="s">
        <v>163</v>
      </c>
      <c r="F90" s="1" t="s">
        <v>172</v>
      </c>
      <c r="G90" s="1" t="s">
        <v>177</v>
      </c>
      <c r="H90" s="1" t="s">
        <v>181</v>
      </c>
      <c r="I90" s="1" t="s">
        <v>182</v>
      </c>
      <c r="J90" s="1" t="s">
        <v>188</v>
      </c>
      <c r="K90" s="1" t="s">
        <v>191</v>
      </c>
      <c r="L90" s="1" t="s">
        <v>210</v>
      </c>
      <c r="M90" s="1" t="s">
        <v>220</v>
      </c>
      <c r="N90" s="1" t="b">
        <v>0</v>
      </c>
      <c r="O90" s="1">
        <v>3</v>
      </c>
    </row>
    <row r="91" spans="1:15" x14ac:dyDescent="0.25">
      <c r="A91" s="1" t="s">
        <v>82</v>
      </c>
      <c r="B91" s="1" t="s">
        <v>124</v>
      </c>
      <c r="C91" s="1" t="s">
        <v>150</v>
      </c>
      <c r="D91" s="1" t="s">
        <v>159</v>
      </c>
      <c r="E91" s="1" t="s">
        <v>162</v>
      </c>
      <c r="F91" s="1" t="s">
        <v>172</v>
      </c>
      <c r="G91" s="1" t="s">
        <v>174</v>
      </c>
      <c r="H91" s="1" t="s">
        <v>180</v>
      </c>
      <c r="I91" s="1" t="s">
        <v>182</v>
      </c>
      <c r="J91" s="1" t="s">
        <v>188</v>
      </c>
      <c r="K91" s="1" t="s">
        <v>191</v>
      </c>
      <c r="L91" s="1" t="s">
        <v>204</v>
      </c>
      <c r="M91" s="1" t="s">
        <v>217</v>
      </c>
      <c r="N91" s="1" t="b">
        <v>0</v>
      </c>
      <c r="O91" s="1">
        <v>2</v>
      </c>
    </row>
    <row r="92" spans="1:15" x14ac:dyDescent="0.25">
      <c r="A92" s="1" t="s">
        <v>83</v>
      </c>
      <c r="B92" s="1" t="s">
        <v>127</v>
      </c>
      <c r="C92" s="1" t="s">
        <v>148</v>
      </c>
      <c r="D92" s="1" t="s">
        <v>159</v>
      </c>
      <c r="E92" s="1" t="s">
        <v>165</v>
      </c>
      <c r="F92" s="1" t="s">
        <v>167</v>
      </c>
      <c r="G92" s="1" t="s">
        <v>178</v>
      </c>
      <c r="H92" s="1" t="s">
        <v>180</v>
      </c>
      <c r="I92" s="1" t="s">
        <v>183</v>
      </c>
      <c r="J92" s="1" t="s">
        <v>188</v>
      </c>
      <c r="K92" s="1" t="s">
        <v>191</v>
      </c>
      <c r="L92" s="1" t="s">
        <v>195</v>
      </c>
      <c r="M92" s="1" t="s">
        <v>212</v>
      </c>
      <c r="N92" s="1" t="b">
        <v>0</v>
      </c>
      <c r="O92" s="1">
        <v>5</v>
      </c>
    </row>
    <row r="93" spans="1:15" x14ac:dyDescent="0.25">
      <c r="A93" s="1" t="s">
        <v>32</v>
      </c>
      <c r="B93" s="1" t="s">
        <v>133</v>
      </c>
      <c r="C93" s="1" t="s">
        <v>152</v>
      </c>
      <c r="D93" s="1" t="s">
        <v>157</v>
      </c>
      <c r="E93" s="1" t="s">
        <v>161</v>
      </c>
      <c r="F93" s="1" t="s">
        <v>168</v>
      </c>
      <c r="G93" s="1" t="s">
        <v>176</v>
      </c>
      <c r="H93" s="1" t="s">
        <v>180</v>
      </c>
      <c r="I93" s="1" t="s">
        <v>182</v>
      </c>
      <c r="J93" s="1" t="s">
        <v>189</v>
      </c>
      <c r="K93" s="1" t="s">
        <v>190</v>
      </c>
      <c r="L93" s="1" t="s">
        <v>192</v>
      </c>
      <c r="M93" s="1" t="s">
        <v>192</v>
      </c>
      <c r="N93" s="1" t="b">
        <v>1</v>
      </c>
      <c r="O93" s="1">
        <v>1</v>
      </c>
    </row>
    <row r="94" spans="1:15" x14ac:dyDescent="0.25">
      <c r="A94" s="1" t="s">
        <v>84</v>
      </c>
      <c r="B94" s="1" t="s">
        <v>129</v>
      </c>
      <c r="C94" s="1" t="s">
        <v>154</v>
      </c>
      <c r="D94" s="1" t="s">
        <v>157</v>
      </c>
      <c r="E94" s="1" t="s">
        <v>162</v>
      </c>
      <c r="F94" s="1" t="s">
        <v>170</v>
      </c>
      <c r="G94" s="1" t="s">
        <v>175</v>
      </c>
      <c r="H94" s="1" t="s">
        <v>181</v>
      </c>
      <c r="I94" s="1" t="s">
        <v>184</v>
      </c>
      <c r="J94" s="1" t="s">
        <v>188</v>
      </c>
      <c r="K94" s="1" t="s">
        <v>191</v>
      </c>
      <c r="L94" s="1" t="s">
        <v>202</v>
      </c>
      <c r="M94" s="1" t="s">
        <v>202</v>
      </c>
      <c r="N94" s="1" t="b">
        <v>1</v>
      </c>
      <c r="O94" s="1">
        <v>2</v>
      </c>
    </row>
    <row r="95" spans="1:15" x14ac:dyDescent="0.25">
      <c r="A95" s="1" t="s">
        <v>85</v>
      </c>
      <c r="B95" s="1" t="s">
        <v>142</v>
      </c>
      <c r="C95" s="1" t="s">
        <v>153</v>
      </c>
      <c r="D95" s="1" t="s">
        <v>159</v>
      </c>
      <c r="E95" s="1" t="s">
        <v>162</v>
      </c>
      <c r="F95" s="1" t="s">
        <v>167</v>
      </c>
      <c r="G95" s="1" t="s">
        <v>175</v>
      </c>
      <c r="H95" s="1" t="s">
        <v>181</v>
      </c>
      <c r="I95" s="1" t="s">
        <v>182</v>
      </c>
      <c r="J95" s="1" t="s">
        <v>188</v>
      </c>
      <c r="K95" s="1" t="s">
        <v>191</v>
      </c>
      <c r="L95" s="1" t="s">
        <v>210</v>
      </c>
      <c r="M95" s="1" t="s">
        <v>220</v>
      </c>
      <c r="N95" s="1" t="b">
        <v>0</v>
      </c>
      <c r="O95" s="1">
        <v>2</v>
      </c>
    </row>
    <row r="96" spans="1:15" x14ac:dyDescent="0.25">
      <c r="A96" s="1" t="s">
        <v>37</v>
      </c>
      <c r="B96" s="1" t="s">
        <v>126</v>
      </c>
      <c r="C96" s="1" t="s">
        <v>151</v>
      </c>
      <c r="D96" s="1" t="s">
        <v>157</v>
      </c>
      <c r="E96" s="1" t="s">
        <v>161</v>
      </c>
      <c r="F96" s="1" t="s">
        <v>168</v>
      </c>
      <c r="G96" s="1" t="s">
        <v>176</v>
      </c>
      <c r="H96" s="1" t="s">
        <v>181</v>
      </c>
      <c r="I96" s="1" t="s">
        <v>185</v>
      </c>
      <c r="J96" s="1" t="s">
        <v>189</v>
      </c>
      <c r="K96" s="1" t="s">
        <v>190</v>
      </c>
      <c r="L96" s="1" t="s">
        <v>197</v>
      </c>
      <c r="M96" s="1" t="s">
        <v>197</v>
      </c>
      <c r="N96" s="1" t="b">
        <v>1</v>
      </c>
      <c r="O96" s="1">
        <v>1</v>
      </c>
    </row>
    <row r="97" spans="1:15" x14ac:dyDescent="0.25">
      <c r="A97" s="1" t="s">
        <v>30</v>
      </c>
      <c r="B97" s="1" t="s">
        <v>125</v>
      </c>
      <c r="C97" s="1" t="s">
        <v>152</v>
      </c>
      <c r="D97" s="1" t="s">
        <v>157</v>
      </c>
      <c r="E97" s="1" t="s">
        <v>161</v>
      </c>
      <c r="F97" s="1" t="s">
        <v>172</v>
      </c>
      <c r="G97" s="1" t="s">
        <v>179</v>
      </c>
      <c r="H97" s="1" t="s">
        <v>180</v>
      </c>
      <c r="I97" s="1" t="s">
        <v>184</v>
      </c>
      <c r="J97" s="1" t="s">
        <v>189</v>
      </c>
      <c r="K97" s="1" t="s">
        <v>190</v>
      </c>
      <c r="L97" s="1" t="s">
        <v>202</v>
      </c>
      <c r="M97" s="1" t="s">
        <v>202</v>
      </c>
      <c r="N97" s="1" t="b">
        <v>1</v>
      </c>
      <c r="O97" s="1">
        <v>1</v>
      </c>
    </row>
    <row r="98" spans="1:15" x14ac:dyDescent="0.25">
      <c r="A98" s="1" t="s">
        <v>37</v>
      </c>
      <c r="B98" s="1" t="s">
        <v>126</v>
      </c>
      <c r="C98" s="1" t="s">
        <v>151</v>
      </c>
      <c r="D98" s="1" t="s">
        <v>157</v>
      </c>
      <c r="E98" s="1" t="s">
        <v>161</v>
      </c>
      <c r="F98" s="1" t="s">
        <v>172</v>
      </c>
      <c r="G98" s="1" t="s">
        <v>176</v>
      </c>
      <c r="H98" s="1" t="s">
        <v>181</v>
      </c>
      <c r="I98" s="1" t="s">
        <v>184</v>
      </c>
      <c r="J98" s="1" t="s">
        <v>189</v>
      </c>
      <c r="K98" s="1" t="s">
        <v>190</v>
      </c>
      <c r="L98" s="1" t="s">
        <v>206</v>
      </c>
      <c r="M98" s="1" t="s">
        <v>206</v>
      </c>
      <c r="N98" s="1" t="b">
        <v>1</v>
      </c>
      <c r="O98" s="1">
        <v>1</v>
      </c>
    </row>
    <row r="99" spans="1:15" x14ac:dyDescent="0.25">
      <c r="A99" s="1" t="s">
        <v>54</v>
      </c>
      <c r="B99" s="1" t="s">
        <v>133</v>
      </c>
      <c r="C99" s="1" t="s">
        <v>149</v>
      </c>
      <c r="D99" s="1" t="s">
        <v>159</v>
      </c>
      <c r="E99" s="1" t="s">
        <v>162</v>
      </c>
      <c r="F99" s="1" t="s">
        <v>168</v>
      </c>
      <c r="G99" s="1" t="s">
        <v>175</v>
      </c>
      <c r="H99" s="1" t="s">
        <v>181</v>
      </c>
      <c r="I99" s="1" t="s">
        <v>182</v>
      </c>
      <c r="J99" s="1" t="s">
        <v>188</v>
      </c>
      <c r="K99" s="1" t="s">
        <v>191</v>
      </c>
      <c r="L99" s="1" t="s">
        <v>195</v>
      </c>
      <c r="M99" s="1" t="s">
        <v>212</v>
      </c>
      <c r="N99" s="1" t="b">
        <v>0</v>
      </c>
      <c r="O99" s="1">
        <v>2</v>
      </c>
    </row>
    <row r="100" spans="1:15" x14ac:dyDescent="0.25">
      <c r="A100" s="1" t="s">
        <v>83</v>
      </c>
      <c r="B100" s="1" t="s">
        <v>128</v>
      </c>
      <c r="C100" s="1" t="s">
        <v>148</v>
      </c>
      <c r="D100" s="1" t="s">
        <v>159</v>
      </c>
      <c r="E100" s="1" t="s">
        <v>165</v>
      </c>
      <c r="F100" s="1" t="s">
        <v>170</v>
      </c>
      <c r="G100" s="1" t="s">
        <v>178</v>
      </c>
      <c r="H100" s="1" t="s">
        <v>181</v>
      </c>
      <c r="I100" s="1" t="s">
        <v>183</v>
      </c>
      <c r="J100" s="1" t="s">
        <v>188</v>
      </c>
      <c r="K100" s="1" t="s">
        <v>191</v>
      </c>
      <c r="L100" s="1" t="s">
        <v>211</v>
      </c>
      <c r="M100" s="1" t="s">
        <v>221</v>
      </c>
      <c r="N100" s="1" t="b">
        <v>0</v>
      </c>
      <c r="O100" s="1">
        <v>5</v>
      </c>
    </row>
    <row r="101" spans="1:15" x14ac:dyDescent="0.25">
      <c r="A101" s="1" t="s">
        <v>86</v>
      </c>
      <c r="B101" s="1" t="s">
        <v>134</v>
      </c>
      <c r="C101" s="1" t="s">
        <v>151</v>
      </c>
      <c r="D101" s="1" t="s">
        <v>159</v>
      </c>
      <c r="E101" s="1" t="s">
        <v>163</v>
      </c>
      <c r="F101" s="1" t="s">
        <v>169</v>
      </c>
      <c r="G101" s="1" t="s">
        <v>175</v>
      </c>
      <c r="H101" s="1" t="s">
        <v>181</v>
      </c>
      <c r="I101" s="1" t="s">
        <v>182</v>
      </c>
      <c r="J101" s="1" t="s">
        <v>188</v>
      </c>
      <c r="K101" s="1" t="s">
        <v>191</v>
      </c>
      <c r="L101" s="1" t="s">
        <v>195</v>
      </c>
      <c r="M101" s="1" t="s">
        <v>212</v>
      </c>
      <c r="N101" s="1" t="b">
        <v>0</v>
      </c>
      <c r="O101" s="1">
        <v>3</v>
      </c>
    </row>
    <row r="102" spans="1:15" x14ac:dyDescent="0.25">
      <c r="A102" s="1" t="s">
        <v>87</v>
      </c>
      <c r="B102" s="1" t="s">
        <v>131</v>
      </c>
      <c r="C102" s="1" t="s">
        <v>148</v>
      </c>
      <c r="D102" s="1" t="s">
        <v>157</v>
      </c>
      <c r="E102" s="1" t="s">
        <v>162</v>
      </c>
      <c r="F102" s="1" t="s">
        <v>170</v>
      </c>
      <c r="G102" s="1" t="s">
        <v>175</v>
      </c>
      <c r="H102" s="1" t="s">
        <v>180</v>
      </c>
      <c r="I102" s="1" t="s">
        <v>183</v>
      </c>
      <c r="J102" s="1" t="s">
        <v>188</v>
      </c>
      <c r="K102" s="1" t="s">
        <v>191</v>
      </c>
      <c r="L102" s="1" t="s">
        <v>206</v>
      </c>
      <c r="M102" s="1" t="s">
        <v>206</v>
      </c>
      <c r="N102" s="1" t="b">
        <v>1</v>
      </c>
      <c r="O102" s="1">
        <v>2</v>
      </c>
    </row>
    <row r="103" spans="1:15" x14ac:dyDescent="0.25">
      <c r="A103" s="1" t="s">
        <v>61</v>
      </c>
      <c r="B103" s="1" t="s">
        <v>125</v>
      </c>
      <c r="C103" s="1" t="s">
        <v>152</v>
      </c>
      <c r="D103" s="1" t="s">
        <v>159</v>
      </c>
      <c r="E103" s="1" t="s">
        <v>161</v>
      </c>
      <c r="F103" s="1" t="s">
        <v>172</v>
      </c>
      <c r="G103" s="1" t="s">
        <v>176</v>
      </c>
      <c r="H103" s="1" t="s">
        <v>181</v>
      </c>
      <c r="I103" s="1" t="s">
        <v>183</v>
      </c>
      <c r="J103" s="1" t="s">
        <v>189</v>
      </c>
      <c r="K103" s="1" t="s">
        <v>190</v>
      </c>
      <c r="L103" s="1" t="s">
        <v>199</v>
      </c>
      <c r="M103" s="1" t="s">
        <v>214</v>
      </c>
      <c r="N103" s="1" t="b">
        <v>0</v>
      </c>
      <c r="O103" s="1">
        <v>1</v>
      </c>
    </row>
    <row r="104" spans="1:15" x14ac:dyDescent="0.25">
      <c r="A104" s="1" t="s">
        <v>88</v>
      </c>
      <c r="B104" s="1" t="s">
        <v>133</v>
      </c>
      <c r="C104" s="1" t="s">
        <v>149</v>
      </c>
      <c r="D104" s="1" t="s">
        <v>157</v>
      </c>
      <c r="E104" s="1" t="s">
        <v>161</v>
      </c>
      <c r="F104" s="1" t="s">
        <v>170</v>
      </c>
      <c r="G104" s="1" t="s">
        <v>174</v>
      </c>
      <c r="H104" s="1" t="s">
        <v>181</v>
      </c>
      <c r="I104" s="1" t="s">
        <v>185</v>
      </c>
      <c r="J104" s="1" t="s">
        <v>188</v>
      </c>
      <c r="K104" s="1" t="s">
        <v>191</v>
      </c>
      <c r="L104" s="1" t="s">
        <v>193</v>
      </c>
      <c r="M104" s="1" t="s">
        <v>193</v>
      </c>
      <c r="N104" s="1" t="b">
        <v>1</v>
      </c>
      <c r="O104" s="1">
        <v>1</v>
      </c>
    </row>
    <row r="105" spans="1:15" x14ac:dyDescent="0.25">
      <c r="A105" s="1" t="s">
        <v>31</v>
      </c>
      <c r="B105" s="1" t="s">
        <v>133</v>
      </c>
      <c r="C105" s="1" t="s">
        <v>149</v>
      </c>
      <c r="D105" s="1" t="s">
        <v>159</v>
      </c>
      <c r="E105" s="1" t="s">
        <v>162</v>
      </c>
      <c r="F105" s="1" t="s">
        <v>170</v>
      </c>
      <c r="G105" s="1" t="s">
        <v>175</v>
      </c>
      <c r="H105" s="1" t="s">
        <v>181</v>
      </c>
      <c r="I105" s="1" t="s">
        <v>182</v>
      </c>
      <c r="J105" s="1" t="s">
        <v>188</v>
      </c>
      <c r="K105" s="1" t="s">
        <v>191</v>
      </c>
      <c r="L105" s="1" t="s">
        <v>203</v>
      </c>
      <c r="M105" s="1" t="s">
        <v>216</v>
      </c>
      <c r="N105" s="1" t="b">
        <v>0</v>
      </c>
      <c r="O105" s="1">
        <v>2</v>
      </c>
    </row>
    <row r="106" spans="1:15" x14ac:dyDescent="0.25">
      <c r="A106" s="1" t="s">
        <v>36</v>
      </c>
      <c r="B106" s="1" t="s">
        <v>125</v>
      </c>
      <c r="C106" s="1" t="s">
        <v>153</v>
      </c>
      <c r="D106" s="1" t="s">
        <v>157</v>
      </c>
      <c r="E106" s="1" t="s">
        <v>163</v>
      </c>
      <c r="F106" s="1" t="s">
        <v>169</v>
      </c>
      <c r="G106" s="1" t="s">
        <v>177</v>
      </c>
      <c r="H106" s="1" t="s">
        <v>181</v>
      </c>
      <c r="I106" s="1" t="s">
        <v>182</v>
      </c>
      <c r="J106" s="1" t="s">
        <v>189</v>
      </c>
      <c r="K106" s="1" t="s">
        <v>190</v>
      </c>
      <c r="L106" s="1" t="s">
        <v>201</v>
      </c>
      <c r="M106" s="1" t="s">
        <v>201</v>
      </c>
      <c r="N106" s="1" t="b">
        <v>1</v>
      </c>
      <c r="O106" s="1">
        <v>3</v>
      </c>
    </row>
    <row r="107" spans="1:15" x14ac:dyDescent="0.25">
      <c r="A107" s="1" t="s">
        <v>89</v>
      </c>
      <c r="B107" s="1" t="s">
        <v>127</v>
      </c>
      <c r="C107" s="1" t="s">
        <v>156</v>
      </c>
      <c r="D107" s="1" t="s">
        <v>159</v>
      </c>
      <c r="E107" s="1" t="s">
        <v>166</v>
      </c>
      <c r="F107" s="1" t="s">
        <v>167</v>
      </c>
      <c r="G107" s="1" t="s">
        <v>178</v>
      </c>
      <c r="H107" s="1" t="s">
        <v>181</v>
      </c>
      <c r="I107" s="1" t="s">
        <v>182</v>
      </c>
      <c r="J107" s="1" t="s">
        <v>188</v>
      </c>
      <c r="K107" s="1" t="s">
        <v>191</v>
      </c>
      <c r="L107" s="1" t="s">
        <v>211</v>
      </c>
      <c r="M107" s="1" t="s">
        <v>221</v>
      </c>
      <c r="N107" s="1" t="b">
        <v>0</v>
      </c>
      <c r="O107" s="1">
        <v>6</v>
      </c>
    </row>
    <row r="108" spans="1:15" x14ac:dyDescent="0.25">
      <c r="A108" s="1" t="s">
        <v>90</v>
      </c>
      <c r="B108" s="1" t="s">
        <v>126</v>
      </c>
      <c r="C108" s="1" t="s">
        <v>149</v>
      </c>
      <c r="D108" s="1" t="s">
        <v>159</v>
      </c>
      <c r="E108" s="1" t="s">
        <v>161</v>
      </c>
      <c r="F108" s="1" t="s">
        <v>172</v>
      </c>
      <c r="G108" s="1" t="s">
        <v>176</v>
      </c>
      <c r="H108" s="1" t="s">
        <v>181</v>
      </c>
      <c r="I108" s="1" t="s">
        <v>185</v>
      </c>
      <c r="J108" s="1" t="s">
        <v>188</v>
      </c>
      <c r="K108" s="1" t="s">
        <v>191</v>
      </c>
      <c r="L108" s="1" t="s">
        <v>208</v>
      </c>
      <c r="M108" s="1" t="s">
        <v>219</v>
      </c>
      <c r="N108" s="1" t="b">
        <v>0</v>
      </c>
      <c r="O108" s="1">
        <v>1</v>
      </c>
    </row>
    <row r="109" spans="1:15" x14ac:dyDescent="0.25">
      <c r="A109" s="1" t="s">
        <v>34</v>
      </c>
      <c r="B109" s="1" t="s">
        <v>133</v>
      </c>
      <c r="C109" s="1" t="s">
        <v>148</v>
      </c>
      <c r="D109" s="1" t="s">
        <v>159</v>
      </c>
      <c r="E109" s="1" t="s">
        <v>162</v>
      </c>
      <c r="F109" s="1" t="s">
        <v>170</v>
      </c>
      <c r="G109" s="1" t="s">
        <v>175</v>
      </c>
      <c r="H109" s="1" t="s">
        <v>180</v>
      </c>
      <c r="I109" s="1" t="s">
        <v>182</v>
      </c>
      <c r="J109" s="1" t="s">
        <v>188</v>
      </c>
      <c r="K109" s="1" t="s">
        <v>191</v>
      </c>
      <c r="L109" s="1" t="s">
        <v>208</v>
      </c>
      <c r="M109" s="1" t="s">
        <v>219</v>
      </c>
      <c r="N109" s="1" t="b">
        <v>0</v>
      </c>
      <c r="O109" s="1">
        <v>2</v>
      </c>
    </row>
    <row r="110" spans="1:15" x14ac:dyDescent="0.25">
      <c r="A110" s="1" t="s">
        <v>91</v>
      </c>
      <c r="B110" s="1" t="s">
        <v>123</v>
      </c>
      <c r="C110" s="1" t="s">
        <v>149</v>
      </c>
      <c r="D110" s="1" t="s">
        <v>158</v>
      </c>
      <c r="E110" s="1" t="s">
        <v>162</v>
      </c>
      <c r="F110" s="1" t="s">
        <v>170</v>
      </c>
      <c r="G110" s="1" t="s">
        <v>175</v>
      </c>
      <c r="H110" s="1" t="s">
        <v>181</v>
      </c>
      <c r="I110" s="1" t="s">
        <v>184</v>
      </c>
      <c r="J110" s="1" t="s">
        <v>188</v>
      </c>
      <c r="K110" s="1" t="s">
        <v>191</v>
      </c>
      <c r="L110" s="1" t="s">
        <v>198</v>
      </c>
      <c r="M110" s="1" t="s">
        <v>198</v>
      </c>
      <c r="N110" s="1" t="b">
        <v>1</v>
      </c>
      <c r="O110" s="1">
        <v>2</v>
      </c>
    </row>
    <row r="111" spans="1:15" x14ac:dyDescent="0.25">
      <c r="A111" s="1" t="s">
        <v>92</v>
      </c>
      <c r="B111" s="1" t="s">
        <v>127</v>
      </c>
      <c r="C111" s="1" t="s">
        <v>150</v>
      </c>
      <c r="D111" s="1" t="s">
        <v>157</v>
      </c>
      <c r="E111" s="1" t="s">
        <v>161</v>
      </c>
      <c r="F111" s="1" t="s">
        <v>170</v>
      </c>
      <c r="G111" s="1" t="s">
        <v>174</v>
      </c>
      <c r="H111" s="1" t="s">
        <v>181</v>
      </c>
      <c r="I111" s="1" t="s">
        <v>184</v>
      </c>
      <c r="J111" s="1" t="s">
        <v>188</v>
      </c>
      <c r="K111" s="1" t="s">
        <v>191</v>
      </c>
      <c r="L111" s="1" t="s">
        <v>209</v>
      </c>
      <c r="M111" s="1" t="s">
        <v>209</v>
      </c>
      <c r="N111" s="1" t="b">
        <v>1</v>
      </c>
      <c r="O111" s="1">
        <v>1</v>
      </c>
    </row>
    <row r="112" spans="1:15" x14ac:dyDescent="0.25">
      <c r="A112" s="1" t="s">
        <v>93</v>
      </c>
      <c r="B112" s="1" t="s">
        <v>133</v>
      </c>
      <c r="C112" s="1" t="s">
        <v>156</v>
      </c>
      <c r="D112" s="1" t="s">
        <v>160</v>
      </c>
      <c r="E112" s="1" t="s">
        <v>166</v>
      </c>
      <c r="F112" s="1" t="s">
        <v>167</v>
      </c>
      <c r="G112" s="1" t="s">
        <v>178</v>
      </c>
      <c r="H112" s="1" t="s">
        <v>181</v>
      </c>
      <c r="I112" s="1" t="s">
        <v>184</v>
      </c>
      <c r="J112" s="1" t="s">
        <v>188</v>
      </c>
      <c r="K112" s="1" t="s">
        <v>191</v>
      </c>
      <c r="L112" s="1" t="s">
        <v>208</v>
      </c>
      <c r="M112" s="1" t="s">
        <v>219</v>
      </c>
      <c r="N112" s="1" t="b">
        <v>0</v>
      </c>
      <c r="O112" s="1">
        <v>6</v>
      </c>
    </row>
    <row r="113" spans="1:15" x14ac:dyDescent="0.25">
      <c r="A113" s="1" t="s">
        <v>83</v>
      </c>
      <c r="B113" s="1" t="s">
        <v>127</v>
      </c>
      <c r="C113" s="1" t="s">
        <v>148</v>
      </c>
      <c r="D113" s="1" t="s">
        <v>157</v>
      </c>
      <c r="E113" s="1" t="s">
        <v>164</v>
      </c>
      <c r="F113" s="1" t="s">
        <v>167</v>
      </c>
      <c r="G113" s="1" t="s">
        <v>178</v>
      </c>
      <c r="H113" s="1" t="s">
        <v>181</v>
      </c>
      <c r="I113" s="1" t="s">
        <v>182</v>
      </c>
      <c r="J113" s="1" t="s">
        <v>188</v>
      </c>
      <c r="K113" s="1" t="s">
        <v>191</v>
      </c>
      <c r="L113" s="1" t="s">
        <v>209</v>
      </c>
      <c r="M113" s="1" t="s">
        <v>209</v>
      </c>
      <c r="N113" s="1" t="b">
        <v>1</v>
      </c>
      <c r="O113" s="1">
        <v>4</v>
      </c>
    </row>
    <row r="114" spans="1:15" x14ac:dyDescent="0.25">
      <c r="A114" s="1" t="s">
        <v>94</v>
      </c>
      <c r="B114" s="1" t="s">
        <v>142</v>
      </c>
      <c r="C114" s="1" t="s">
        <v>148</v>
      </c>
      <c r="D114" s="1" t="s">
        <v>159</v>
      </c>
      <c r="E114" s="1" t="s">
        <v>163</v>
      </c>
      <c r="F114" s="1" t="s">
        <v>172</v>
      </c>
      <c r="G114" s="1" t="s">
        <v>175</v>
      </c>
      <c r="H114" s="1" t="s">
        <v>180</v>
      </c>
      <c r="I114" s="1" t="s">
        <v>184</v>
      </c>
      <c r="J114" s="1" t="s">
        <v>189</v>
      </c>
      <c r="K114" s="1" t="s">
        <v>190</v>
      </c>
      <c r="L114" s="1" t="s">
        <v>211</v>
      </c>
      <c r="M114" s="1" t="s">
        <v>221</v>
      </c>
      <c r="N114" s="1" t="b">
        <v>0</v>
      </c>
      <c r="O114" s="1">
        <v>3</v>
      </c>
    </row>
    <row r="115" spans="1:15" x14ac:dyDescent="0.25">
      <c r="A115" s="1" t="s">
        <v>21</v>
      </c>
      <c r="B115" s="1" t="s">
        <v>128</v>
      </c>
      <c r="C115" s="1" t="s">
        <v>148</v>
      </c>
      <c r="D115" s="1" t="s">
        <v>159</v>
      </c>
      <c r="E115" s="1" t="s">
        <v>164</v>
      </c>
      <c r="F115" s="1" t="s">
        <v>170</v>
      </c>
      <c r="G115" s="1" t="s">
        <v>178</v>
      </c>
      <c r="H115" s="1" t="s">
        <v>180</v>
      </c>
      <c r="I115" s="1" t="s">
        <v>183</v>
      </c>
      <c r="J115" s="1" t="s">
        <v>188</v>
      </c>
      <c r="K115" s="1" t="s">
        <v>191</v>
      </c>
      <c r="L115" s="1" t="s">
        <v>200</v>
      </c>
      <c r="M115" s="1" t="s">
        <v>215</v>
      </c>
      <c r="N115" s="1" t="b">
        <v>0</v>
      </c>
      <c r="O115" s="1">
        <v>4</v>
      </c>
    </row>
    <row r="116" spans="1:15" x14ac:dyDescent="0.25">
      <c r="A116" s="1" t="s">
        <v>30</v>
      </c>
      <c r="B116" s="1" t="s">
        <v>125</v>
      </c>
      <c r="C116" s="1" t="s">
        <v>152</v>
      </c>
      <c r="D116" s="1" t="s">
        <v>157</v>
      </c>
      <c r="E116" s="1" t="s">
        <v>161</v>
      </c>
      <c r="F116" s="1" t="s">
        <v>172</v>
      </c>
      <c r="G116" s="1" t="s">
        <v>179</v>
      </c>
      <c r="H116" s="1" t="s">
        <v>181</v>
      </c>
      <c r="I116" s="1" t="s">
        <v>184</v>
      </c>
      <c r="J116" s="1" t="s">
        <v>189</v>
      </c>
      <c r="K116" s="1" t="s">
        <v>190</v>
      </c>
      <c r="L116" s="1" t="s">
        <v>205</v>
      </c>
      <c r="M116" s="1" t="s">
        <v>205</v>
      </c>
      <c r="N116" s="1" t="b">
        <v>1</v>
      </c>
      <c r="O116" s="1">
        <v>1</v>
      </c>
    </row>
    <row r="117" spans="1:15" x14ac:dyDescent="0.25">
      <c r="A117" s="1" t="s">
        <v>95</v>
      </c>
      <c r="B117" s="1" t="s">
        <v>125</v>
      </c>
      <c r="C117" s="1" t="s">
        <v>154</v>
      </c>
      <c r="D117" s="1" t="s">
        <v>159</v>
      </c>
      <c r="E117" s="1" t="s">
        <v>162</v>
      </c>
      <c r="F117" s="1" t="s">
        <v>168</v>
      </c>
      <c r="G117" s="1" t="s">
        <v>175</v>
      </c>
      <c r="H117" s="1" t="s">
        <v>181</v>
      </c>
      <c r="I117" s="1" t="s">
        <v>185</v>
      </c>
      <c r="J117" s="1" t="s">
        <v>188</v>
      </c>
      <c r="K117" s="1" t="s">
        <v>191</v>
      </c>
      <c r="L117" s="1" t="s">
        <v>211</v>
      </c>
      <c r="M117" s="1" t="s">
        <v>221</v>
      </c>
      <c r="N117" s="1" t="b">
        <v>0</v>
      </c>
      <c r="O117" s="1">
        <v>2</v>
      </c>
    </row>
    <row r="118" spans="1:15" x14ac:dyDescent="0.25">
      <c r="A118" s="1" t="s">
        <v>96</v>
      </c>
      <c r="B118" s="1" t="s">
        <v>126</v>
      </c>
      <c r="C118" s="1" t="s">
        <v>148</v>
      </c>
      <c r="D118" s="1" t="s">
        <v>159</v>
      </c>
      <c r="E118" s="1" t="s">
        <v>165</v>
      </c>
      <c r="F118" s="1" t="s">
        <v>168</v>
      </c>
      <c r="G118" s="1" t="s">
        <v>178</v>
      </c>
      <c r="H118" s="1" t="s">
        <v>181</v>
      </c>
      <c r="I118" s="1" t="s">
        <v>182</v>
      </c>
      <c r="J118" s="1" t="s">
        <v>188</v>
      </c>
      <c r="K118" s="1" t="s">
        <v>191</v>
      </c>
      <c r="L118" s="1" t="s">
        <v>200</v>
      </c>
      <c r="M118" s="1" t="s">
        <v>215</v>
      </c>
      <c r="N118" s="1" t="b">
        <v>0</v>
      </c>
      <c r="O118" s="1">
        <v>5</v>
      </c>
    </row>
    <row r="119" spans="1:15" x14ac:dyDescent="0.25">
      <c r="A119" s="1" t="s">
        <v>42</v>
      </c>
      <c r="B119" s="1" t="s">
        <v>133</v>
      </c>
      <c r="C119" s="1" t="s">
        <v>149</v>
      </c>
      <c r="D119" s="1" t="s">
        <v>160</v>
      </c>
      <c r="E119" s="1" t="s">
        <v>164</v>
      </c>
      <c r="F119" s="1" t="s">
        <v>168</v>
      </c>
      <c r="G119" s="1" t="s">
        <v>178</v>
      </c>
      <c r="H119" s="1" t="s">
        <v>181</v>
      </c>
      <c r="I119" s="1" t="s">
        <v>184</v>
      </c>
      <c r="J119" s="1" t="s">
        <v>188</v>
      </c>
      <c r="K119" s="1" t="s">
        <v>191</v>
      </c>
      <c r="L119" s="1" t="s">
        <v>211</v>
      </c>
      <c r="M119" s="1" t="s">
        <v>221</v>
      </c>
      <c r="N119" s="1" t="b">
        <v>0</v>
      </c>
      <c r="O119" s="1">
        <v>4</v>
      </c>
    </row>
    <row r="120" spans="1:15" x14ac:dyDescent="0.25">
      <c r="A120" s="1" t="s">
        <v>30</v>
      </c>
      <c r="B120" s="1" t="s">
        <v>125</v>
      </c>
      <c r="C120" s="1" t="s">
        <v>152</v>
      </c>
      <c r="D120" s="1" t="s">
        <v>157</v>
      </c>
      <c r="E120" s="1" t="s">
        <v>161</v>
      </c>
      <c r="F120" s="1" t="s">
        <v>171</v>
      </c>
      <c r="G120" s="1" t="s">
        <v>179</v>
      </c>
      <c r="H120" s="1" t="s">
        <v>180</v>
      </c>
      <c r="I120" s="1" t="s">
        <v>185</v>
      </c>
      <c r="J120" s="1" t="s">
        <v>189</v>
      </c>
      <c r="K120" s="1" t="s">
        <v>190</v>
      </c>
      <c r="L120" s="1" t="s">
        <v>198</v>
      </c>
      <c r="M120" s="1" t="s">
        <v>198</v>
      </c>
      <c r="N120" s="1" t="b">
        <v>1</v>
      </c>
      <c r="O120" s="1">
        <v>1</v>
      </c>
    </row>
    <row r="121" spans="1:15" x14ac:dyDescent="0.25">
      <c r="A121" s="1" t="s">
        <v>42</v>
      </c>
      <c r="B121" s="1" t="s">
        <v>133</v>
      </c>
      <c r="C121" s="1" t="s">
        <v>149</v>
      </c>
      <c r="D121" s="1" t="s">
        <v>158</v>
      </c>
      <c r="E121" s="1" t="s">
        <v>163</v>
      </c>
      <c r="F121" s="1" t="s">
        <v>170</v>
      </c>
      <c r="G121" s="1" t="s">
        <v>177</v>
      </c>
      <c r="H121" s="1" t="s">
        <v>181</v>
      </c>
      <c r="I121" s="1" t="s">
        <v>183</v>
      </c>
      <c r="J121" s="1" t="s">
        <v>188</v>
      </c>
      <c r="K121" s="1" t="s">
        <v>191</v>
      </c>
      <c r="L121" s="1" t="s">
        <v>197</v>
      </c>
      <c r="M121" s="1" t="s">
        <v>197</v>
      </c>
      <c r="N121" s="1" t="b">
        <v>1</v>
      </c>
      <c r="O121" s="1">
        <v>3</v>
      </c>
    </row>
    <row r="122" spans="1:15" x14ac:dyDescent="0.25">
      <c r="A122" s="1" t="s">
        <v>23</v>
      </c>
      <c r="B122" s="1" t="s">
        <v>125</v>
      </c>
      <c r="C122" s="1" t="s">
        <v>152</v>
      </c>
      <c r="D122" s="1" t="s">
        <v>159</v>
      </c>
      <c r="E122" s="1" t="s">
        <v>161</v>
      </c>
      <c r="F122" s="1" t="s">
        <v>172</v>
      </c>
      <c r="G122" s="1" t="s">
        <v>176</v>
      </c>
      <c r="H122" s="1" t="s">
        <v>180</v>
      </c>
      <c r="I122" s="1" t="s">
        <v>184</v>
      </c>
      <c r="J122" s="1" t="s">
        <v>189</v>
      </c>
      <c r="K122" s="1" t="s">
        <v>190</v>
      </c>
      <c r="L122" s="1" t="s">
        <v>208</v>
      </c>
      <c r="M122" s="1" t="s">
        <v>219</v>
      </c>
      <c r="N122" s="1" t="b">
        <v>0</v>
      </c>
      <c r="O122" s="1">
        <v>1</v>
      </c>
    </row>
    <row r="123" spans="1:15" x14ac:dyDescent="0.25">
      <c r="A123" s="1" t="s">
        <v>71</v>
      </c>
      <c r="B123" s="1" t="s">
        <v>133</v>
      </c>
      <c r="C123" s="1" t="s">
        <v>149</v>
      </c>
      <c r="D123" s="1" t="s">
        <v>160</v>
      </c>
      <c r="E123" s="1" t="s">
        <v>165</v>
      </c>
      <c r="F123" s="1" t="s">
        <v>170</v>
      </c>
      <c r="G123" s="1" t="s">
        <v>178</v>
      </c>
      <c r="H123" s="1" t="s">
        <v>181</v>
      </c>
      <c r="I123" s="1" t="s">
        <v>182</v>
      </c>
      <c r="J123" s="1" t="s">
        <v>188</v>
      </c>
      <c r="K123" s="1" t="s">
        <v>191</v>
      </c>
      <c r="L123" s="1" t="s">
        <v>203</v>
      </c>
      <c r="M123" s="1" t="s">
        <v>216</v>
      </c>
      <c r="N123" s="1" t="b">
        <v>0</v>
      </c>
      <c r="O123" s="1">
        <v>5</v>
      </c>
    </row>
    <row r="124" spans="1:15" x14ac:dyDescent="0.25">
      <c r="A124" s="1" t="s">
        <v>97</v>
      </c>
      <c r="B124" s="1" t="s">
        <v>126</v>
      </c>
      <c r="C124" s="1" t="s">
        <v>150</v>
      </c>
      <c r="D124" s="1" t="s">
        <v>157</v>
      </c>
      <c r="E124" s="1" t="s">
        <v>161</v>
      </c>
      <c r="F124" s="1" t="s">
        <v>169</v>
      </c>
      <c r="G124" s="1" t="s">
        <v>176</v>
      </c>
      <c r="H124" s="1" t="s">
        <v>180</v>
      </c>
      <c r="I124" s="1" t="s">
        <v>182</v>
      </c>
      <c r="J124" s="1" t="s">
        <v>188</v>
      </c>
      <c r="K124" s="1" t="s">
        <v>191</v>
      </c>
      <c r="L124" s="1" t="s">
        <v>206</v>
      </c>
      <c r="M124" s="1" t="s">
        <v>206</v>
      </c>
      <c r="N124" s="1" t="b">
        <v>1</v>
      </c>
      <c r="O124" s="1">
        <v>1</v>
      </c>
    </row>
    <row r="125" spans="1:15" x14ac:dyDescent="0.25">
      <c r="A125" s="1" t="s">
        <v>87</v>
      </c>
      <c r="B125" s="1" t="s">
        <v>126</v>
      </c>
      <c r="C125" s="1" t="s">
        <v>148</v>
      </c>
      <c r="D125" s="1" t="s">
        <v>157</v>
      </c>
      <c r="E125" s="1" t="s">
        <v>162</v>
      </c>
      <c r="F125" s="1" t="s">
        <v>168</v>
      </c>
      <c r="G125" s="1" t="s">
        <v>175</v>
      </c>
      <c r="H125" s="1" t="s">
        <v>180</v>
      </c>
      <c r="I125" s="1" t="s">
        <v>183</v>
      </c>
      <c r="J125" s="1" t="s">
        <v>188</v>
      </c>
      <c r="K125" s="1" t="s">
        <v>191</v>
      </c>
      <c r="L125" s="1" t="s">
        <v>194</v>
      </c>
      <c r="M125" s="1" t="s">
        <v>194</v>
      </c>
      <c r="N125" s="1" t="b">
        <v>1</v>
      </c>
      <c r="O125" s="1">
        <v>2</v>
      </c>
    </row>
    <row r="126" spans="1:15" x14ac:dyDescent="0.25">
      <c r="A126" s="1" t="s">
        <v>34</v>
      </c>
      <c r="B126" s="1" t="s">
        <v>143</v>
      </c>
      <c r="C126" s="1" t="s">
        <v>148</v>
      </c>
      <c r="D126" s="1" t="s">
        <v>157</v>
      </c>
      <c r="E126" s="1" t="s">
        <v>162</v>
      </c>
      <c r="F126" s="1" t="s">
        <v>167</v>
      </c>
      <c r="G126" s="1" t="s">
        <v>175</v>
      </c>
      <c r="H126" s="1" t="s">
        <v>180</v>
      </c>
      <c r="I126" s="1" t="s">
        <v>182</v>
      </c>
      <c r="J126" s="1" t="s">
        <v>188</v>
      </c>
      <c r="K126" s="1" t="s">
        <v>191</v>
      </c>
      <c r="L126" s="1" t="s">
        <v>192</v>
      </c>
      <c r="M126" s="1" t="s">
        <v>192</v>
      </c>
      <c r="N126" s="1" t="b">
        <v>1</v>
      </c>
      <c r="O126" s="1">
        <v>2</v>
      </c>
    </row>
    <row r="127" spans="1:15" x14ac:dyDescent="0.25">
      <c r="A127" s="1" t="s">
        <v>42</v>
      </c>
      <c r="B127" s="1" t="s">
        <v>133</v>
      </c>
      <c r="C127" s="1" t="s">
        <v>149</v>
      </c>
      <c r="D127" s="1" t="s">
        <v>160</v>
      </c>
      <c r="E127" s="1" t="s">
        <v>164</v>
      </c>
      <c r="F127" s="1" t="s">
        <v>170</v>
      </c>
      <c r="G127" s="1" t="s">
        <v>178</v>
      </c>
      <c r="H127" s="1" t="s">
        <v>181</v>
      </c>
      <c r="I127" s="1" t="s">
        <v>182</v>
      </c>
      <c r="J127" s="1" t="s">
        <v>188</v>
      </c>
      <c r="K127" s="1" t="s">
        <v>191</v>
      </c>
      <c r="L127" s="1" t="s">
        <v>211</v>
      </c>
      <c r="M127" s="1" t="s">
        <v>221</v>
      </c>
      <c r="N127" s="1" t="b">
        <v>0</v>
      </c>
      <c r="O127" s="1">
        <v>4</v>
      </c>
    </row>
    <row r="128" spans="1:15" x14ac:dyDescent="0.25">
      <c r="A128" s="1" t="s">
        <v>16</v>
      </c>
      <c r="B128" s="1" t="s">
        <v>123</v>
      </c>
      <c r="C128" s="1" t="s">
        <v>149</v>
      </c>
      <c r="D128" s="1" t="s">
        <v>160</v>
      </c>
      <c r="E128" s="1" t="s">
        <v>163</v>
      </c>
      <c r="F128" s="1" t="s">
        <v>168</v>
      </c>
      <c r="G128" s="1" t="s">
        <v>177</v>
      </c>
      <c r="H128" s="1" t="s">
        <v>181</v>
      </c>
      <c r="I128" s="1" t="s">
        <v>182</v>
      </c>
      <c r="J128" s="1" t="s">
        <v>188</v>
      </c>
      <c r="K128" s="1" t="s">
        <v>191</v>
      </c>
      <c r="L128" s="1" t="s">
        <v>207</v>
      </c>
      <c r="M128" s="1" t="s">
        <v>218</v>
      </c>
      <c r="N128" s="1" t="b">
        <v>1</v>
      </c>
      <c r="O128" s="1">
        <v>3</v>
      </c>
    </row>
    <row r="129" spans="1:15" x14ac:dyDescent="0.25">
      <c r="A129" s="1" t="s">
        <v>36</v>
      </c>
      <c r="B129" s="1" t="s">
        <v>125</v>
      </c>
      <c r="C129" s="1" t="s">
        <v>153</v>
      </c>
      <c r="D129" s="1" t="s">
        <v>159</v>
      </c>
      <c r="E129" s="1" t="s">
        <v>163</v>
      </c>
      <c r="F129" s="1" t="s">
        <v>169</v>
      </c>
      <c r="G129" s="1" t="s">
        <v>178</v>
      </c>
      <c r="H129" s="1" t="s">
        <v>180</v>
      </c>
      <c r="I129" s="1" t="s">
        <v>182</v>
      </c>
      <c r="J129" s="1" t="s">
        <v>189</v>
      </c>
      <c r="K129" s="1" t="s">
        <v>190</v>
      </c>
      <c r="L129" s="1" t="s">
        <v>204</v>
      </c>
      <c r="M129" s="1" t="s">
        <v>217</v>
      </c>
      <c r="N129" s="1" t="b">
        <v>0</v>
      </c>
      <c r="O129" s="1">
        <v>3</v>
      </c>
    </row>
    <row r="130" spans="1:15" x14ac:dyDescent="0.25">
      <c r="A130" s="1" t="s">
        <v>72</v>
      </c>
      <c r="B130" s="1" t="s">
        <v>140</v>
      </c>
      <c r="C130" s="1" t="s">
        <v>148</v>
      </c>
      <c r="D130" s="1" t="s">
        <v>157</v>
      </c>
      <c r="E130" s="1" t="s">
        <v>162</v>
      </c>
      <c r="F130" s="1" t="s">
        <v>168</v>
      </c>
      <c r="G130" s="1" t="s">
        <v>175</v>
      </c>
      <c r="H130" s="1" t="s">
        <v>181</v>
      </c>
      <c r="I130" s="1" t="s">
        <v>183</v>
      </c>
      <c r="J130" s="1" t="s">
        <v>188</v>
      </c>
      <c r="K130" s="1" t="s">
        <v>191</v>
      </c>
      <c r="L130" s="1" t="s">
        <v>194</v>
      </c>
      <c r="M130" s="1" t="s">
        <v>194</v>
      </c>
      <c r="N130" s="1" t="b">
        <v>1</v>
      </c>
      <c r="O130" s="1">
        <v>2</v>
      </c>
    </row>
    <row r="131" spans="1:15" x14ac:dyDescent="0.25">
      <c r="A131" s="1" t="s">
        <v>98</v>
      </c>
      <c r="B131" s="1" t="s">
        <v>131</v>
      </c>
      <c r="C131" s="1" t="s">
        <v>150</v>
      </c>
      <c r="D131" s="1" t="s">
        <v>159</v>
      </c>
      <c r="E131" s="1" t="s">
        <v>161</v>
      </c>
      <c r="F131" s="1" t="s">
        <v>172</v>
      </c>
      <c r="G131" s="1" t="s">
        <v>174</v>
      </c>
      <c r="H131" s="1" t="s">
        <v>180</v>
      </c>
      <c r="I131" s="1" t="s">
        <v>182</v>
      </c>
      <c r="J131" s="1" t="s">
        <v>188</v>
      </c>
      <c r="K131" s="1" t="s">
        <v>191</v>
      </c>
      <c r="L131" s="1" t="s">
        <v>203</v>
      </c>
      <c r="M131" s="1" t="s">
        <v>216</v>
      </c>
      <c r="N131" s="1" t="b">
        <v>0</v>
      </c>
      <c r="O131" s="1">
        <v>1</v>
      </c>
    </row>
    <row r="132" spans="1:15" x14ac:dyDescent="0.25">
      <c r="A132" s="1" t="s">
        <v>99</v>
      </c>
      <c r="B132" s="1" t="s">
        <v>132</v>
      </c>
      <c r="C132" s="1" t="s">
        <v>156</v>
      </c>
      <c r="D132" s="1" t="s">
        <v>159</v>
      </c>
      <c r="E132" s="1" t="s">
        <v>164</v>
      </c>
      <c r="F132" s="1" t="s">
        <v>170</v>
      </c>
      <c r="G132" s="1" t="s">
        <v>178</v>
      </c>
      <c r="H132" s="1" t="s">
        <v>180</v>
      </c>
      <c r="I132" s="1" t="s">
        <v>183</v>
      </c>
      <c r="J132" s="1" t="s">
        <v>188</v>
      </c>
      <c r="K132" s="1" t="s">
        <v>191</v>
      </c>
      <c r="L132" s="1" t="s">
        <v>195</v>
      </c>
      <c r="M132" s="1" t="s">
        <v>212</v>
      </c>
      <c r="N132" s="1" t="b">
        <v>0</v>
      </c>
      <c r="O132" s="1">
        <v>4</v>
      </c>
    </row>
    <row r="133" spans="1:15" x14ac:dyDescent="0.25">
      <c r="A133" s="1" t="s">
        <v>100</v>
      </c>
      <c r="B133" s="1" t="s">
        <v>140</v>
      </c>
      <c r="C133" s="1" t="s">
        <v>153</v>
      </c>
      <c r="D133" s="1" t="s">
        <v>159</v>
      </c>
      <c r="E133" s="1" t="s">
        <v>162</v>
      </c>
      <c r="F133" s="1" t="s">
        <v>168</v>
      </c>
      <c r="G133" s="1" t="s">
        <v>174</v>
      </c>
      <c r="H133" s="1" t="s">
        <v>180</v>
      </c>
      <c r="I133" s="1" t="s">
        <v>185</v>
      </c>
      <c r="J133" s="1" t="s">
        <v>188</v>
      </c>
      <c r="K133" s="1" t="s">
        <v>191</v>
      </c>
      <c r="L133" s="1" t="s">
        <v>203</v>
      </c>
      <c r="M133" s="1" t="s">
        <v>216</v>
      </c>
      <c r="N133" s="1" t="b">
        <v>0</v>
      </c>
      <c r="O133" s="1">
        <v>2</v>
      </c>
    </row>
    <row r="134" spans="1:15" x14ac:dyDescent="0.25">
      <c r="A134" s="1" t="s">
        <v>101</v>
      </c>
      <c r="B134" s="1" t="s">
        <v>146</v>
      </c>
      <c r="C134" s="1" t="s">
        <v>152</v>
      </c>
      <c r="D134" s="1" t="s">
        <v>159</v>
      </c>
      <c r="E134" s="1" t="s">
        <v>162</v>
      </c>
      <c r="F134" s="1" t="s">
        <v>172</v>
      </c>
      <c r="G134" s="1" t="s">
        <v>175</v>
      </c>
      <c r="H134" s="1" t="s">
        <v>180</v>
      </c>
      <c r="I134" s="1" t="s">
        <v>184</v>
      </c>
      <c r="J134" s="1" t="s">
        <v>188</v>
      </c>
      <c r="K134" s="1" t="s">
        <v>191</v>
      </c>
      <c r="L134" s="1" t="s">
        <v>210</v>
      </c>
      <c r="M134" s="1" t="s">
        <v>220</v>
      </c>
      <c r="N134" s="1" t="b">
        <v>0</v>
      </c>
      <c r="O134" s="1">
        <v>2</v>
      </c>
    </row>
    <row r="135" spans="1:15" x14ac:dyDescent="0.25">
      <c r="A135" s="1" t="s">
        <v>30</v>
      </c>
      <c r="B135" s="1" t="s">
        <v>125</v>
      </c>
      <c r="C135" s="1" t="s">
        <v>152</v>
      </c>
      <c r="D135" s="1" t="s">
        <v>159</v>
      </c>
      <c r="E135" s="1" t="s">
        <v>161</v>
      </c>
      <c r="F135" s="1" t="s">
        <v>172</v>
      </c>
      <c r="G135" s="1" t="s">
        <v>176</v>
      </c>
      <c r="H135" s="1" t="s">
        <v>180</v>
      </c>
      <c r="I135" s="1" t="s">
        <v>183</v>
      </c>
      <c r="J135" s="1" t="s">
        <v>189</v>
      </c>
      <c r="K135" s="1" t="s">
        <v>190</v>
      </c>
      <c r="L135" s="1" t="s">
        <v>204</v>
      </c>
      <c r="M135" s="1" t="s">
        <v>217</v>
      </c>
      <c r="N135" s="1" t="b">
        <v>0</v>
      </c>
      <c r="O135" s="1">
        <v>1</v>
      </c>
    </row>
    <row r="136" spans="1:15" x14ac:dyDescent="0.25">
      <c r="A136" s="1" t="s">
        <v>91</v>
      </c>
      <c r="B136" s="1" t="s">
        <v>123</v>
      </c>
      <c r="C136" s="1" t="s">
        <v>149</v>
      </c>
      <c r="D136" s="1" t="s">
        <v>158</v>
      </c>
      <c r="E136" s="1" t="s">
        <v>163</v>
      </c>
      <c r="F136" s="1" t="s">
        <v>167</v>
      </c>
      <c r="G136" s="1" t="s">
        <v>177</v>
      </c>
      <c r="H136" s="1" t="s">
        <v>181</v>
      </c>
      <c r="I136" s="1" t="s">
        <v>182</v>
      </c>
      <c r="J136" s="1" t="s">
        <v>188</v>
      </c>
      <c r="K136" s="1" t="s">
        <v>191</v>
      </c>
      <c r="L136" s="1" t="s">
        <v>197</v>
      </c>
      <c r="M136" s="1" t="s">
        <v>197</v>
      </c>
      <c r="N136" s="1" t="b">
        <v>1</v>
      </c>
      <c r="O136" s="1">
        <v>3</v>
      </c>
    </row>
    <row r="137" spans="1:15" x14ac:dyDescent="0.25">
      <c r="A137" s="1" t="s">
        <v>48</v>
      </c>
      <c r="B137" s="1" t="s">
        <v>123</v>
      </c>
      <c r="C137" s="1" t="s">
        <v>149</v>
      </c>
      <c r="D137" s="1" t="s">
        <v>157</v>
      </c>
      <c r="E137" s="1" t="s">
        <v>161</v>
      </c>
      <c r="F137" s="1" t="s">
        <v>168</v>
      </c>
      <c r="G137" s="1" t="s">
        <v>174</v>
      </c>
      <c r="H137" s="1" t="s">
        <v>181</v>
      </c>
      <c r="I137" s="1" t="s">
        <v>184</v>
      </c>
      <c r="J137" s="1" t="s">
        <v>189</v>
      </c>
      <c r="K137" s="1" t="s">
        <v>190</v>
      </c>
      <c r="L137" s="1" t="s">
        <v>197</v>
      </c>
      <c r="M137" s="1" t="s">
        <v>197</v>
      </c>
      <c r="N137" s="1" t="b">
        <v>1</v>
      </c>
      <c r="O137" s="1">
        <v>1</v>
      </c>
    </row>
    <row r="138" spans="1:15" x14ac:dyDescent="0.25">
      <c r="A138" s="1" t="s">
        <v>16</v>
      </c>
      <c r="B138" s="1" t="s">
        <v>123</v>
      </c>
      <c r="C138" s="1" t="s">
        <v>149</v>
      </c>
      <c r="D138" s="1" t="s">
        <v>158</v>
      </c>
      <c r="E138" s="1" t="s">
        <v>162</v>
      </c>
      <c r="F138" s="1" t="s">
        <v>167</v>
      </c>
      <c r="G138" s="1" t="s">
        <v>175</v>
      </c>
      <c r="H138" s="1" t="s">
        <v>181</v>
      </c>
      <c r="I138" s="1" t="s">
        <v>182</v>
      </c>
      <c r="J138" s="1" t="s">
        <v>188</v>
      </c>
      <c r="K138" s="1" t="s">
        <v>191</v>
      </c>
      <c r="L138" s="1" t="s">
        <v>194</v>
      </c>
      <c r="M138" s="1" t="s">
        <v>194</v>
      </c>
      <c r="N138" s="1" t="b">
        <v>1</v>
      </c>
      <c r="O138" s="1">
        <v>2</v>
      </c>
    </row>
    <row r="139" spans="1:15" x14ac:dyDescent="0.25">
      <c r="A139" s="1" t="s">
        <v>102</v>
      </c>
      <c r="B139" s="1" t="s">
        <v>142</v>
      </c>
      <c r="C139" s="1" t="s">
        <v>148</v>
      </c>
      <c r="D139" s="1" t="s">
        <v>159</v>
      </c>
      <c r="E139" s="1" t="s">
        <v>163</v>
      </c>
      <c r="F139" s="1" t="s">
        <v>167</v>
      </c>
      <c r="G139" s="1" t="s">
        <v>178</v>
      </c>
      <c r="H139" s="1" t="s">
        <v>180</v>
      </c>
      <c r="I139" s="1" t="s">
        <v>184</v>
      </c>
      <c r="J139" s="1" t="s">
        <v>189</v>
      </c>
      <c r="K139" s="1" t="s">
        <v>190</v>
      </c>
      <c r="L139" s="1" t="s">
        <v>199</v>
      </c>
      <c r="M139" s="1" t="s">
        <v>214</v>
      </c>
      <c r="N139" s="1" t="b">
        <v>0</v>
      </c>
      <c r="O139" s="1">
        <v>3</v>
      </c>
    </row>
    <row r="140" spans="1:15" x14ac:dyDescent="0.25">
      <c r="A140" s="1" t="s">
        <v>103</v>
      </c>
      <c r="B140" s="1" t="s">
        <v>143</v>
      </c>
      <c r="C140" s="1" t="s">
        <v>154</v>
      </c>
      <c r="D140" s="1" t="s">
        <v>157</v>
      </c>
      <c r="E140" s="1" t="s">
        <v>163</v>
      </c>
      <c r="F140" s="1" t="s">
        <v>169</v>
      </c>
      <c r="G140" s="1" t="s">
        <v>177</v>
      </c>
      <c r="H140" s="1" t="s">
        <v>181</v>
      </c>
      <c r="I140" s="1" t="s">
        <v>182</v>
      </c>
      <c r="J140" s="1" t="s">
        <v>188</v>
      </c>
      <c r="K140" s="1" t="s">
        <v>191</v>
      </c>
      <c r="L140" s="1" t="s">
        <v>197</v>
      </c>
      <c r="M140" s="1" t="s">
        <v>197</v>
      </c>
      <c r="N140" s="1" t="b">
        <v>1</v>
      </c>
      <c r="O140" s="1">
        <v>3</v>
      </c>
    </row>
    <row r="141" spans="1:15" x14ac:dyDescent="0.25">
      <c r="A141" s="1" t="s">
        <v>30</v>
      </c>
      <c r="B141" s="1" t="s">
        <v>125</v>
      </c>
      <c r="C141" s="1" t="s">
        <v>152</v>
      </c>
      <c r="D141" s="1" t="s">
        <v>157</v>
      </c>
      <c r="E141" s="1" t="s">
        <v>161</v>
      </c>
      <c r="F141" s="1" t="s">
        <v>172</v>
      </c>
      <c r="G141" s="1" t="s">
        <v>179</v>
      </c>
      <c r="H141" s="1" t="s">
        <v>180</v>
      </c>
      <c r="I141" s="1" t="s">
        <v>182</v>
      </c>
      <c r="J141" s="1" t="s">
        <v>189</v>
      </c>
      <c r="K141" s="1" t="s">
        <v>190</v>
      </c>
      <c r="L141" s="1" t="s">
        <v>201</v>
      </c>
      <c r="M141" s="1" t="s">
        <v>201</v>
      </c>
      <c r="N141" s="1" t="b">
        <v>1</v>
      </c>
      <c r="O141" s="1">
        <v>1</v>
      </c>
    </row>
    <row r="142" spans="1:15" x14ac:dyDescent="0.25">
      <c r="A142" s="1" t="s">
        <v>91</v>
      </c>
      <c r="B142" s="1" t="s">
        <v>123</v>
      </c>
      <c r="C142" s="1" t="s">
        <v>149</v>
      </c>
      <c r="D142" s="1" t="s">
        <v>160</v>
      </c>
      <c r="E142" s="1" t="s">
        <v>164</v>
      </c>
      <c r="F142" s="1" t="s">
        <v>167</v>
      </c>
      <c r="G142" s="1" t="s">
        <v>178</v>
      </c>
      <c r="H142" s="1" t="s">
        <v>181</v>
      </c>
      <c r="I142" s="1" t="s">
        <v>182</v>
      </c>
      <c r="J142" s="1" t="s">
        <v>188</v>
      </c>
      <c r="K142" s="1" t="s">
        <v>191</v>
      </c>
      <c r="L142" s="1" t="s">
        <v>211</v>
      </c>
      <c r="M142" s="1" t="s">
        <v>221</v>
      </c>
      <c r="N142" s="1" t="b">
        <v>0</v>
      </c>
      <c r="O142" s="1">
        <v>4</v>
      </c>
    </row>
    <row r="143" spans="1:15" x14ac:dyDescent="0.25">
      <c r="A143" s="1" t="s">
        <v>104</v>
      </c>
      <c r="B143" s="1" t="s">
        <v>126</v>
      </c>
      <c r="C143" s="1" t="s">
        <v>149</v>
      </c>
      <c r="D143" s="1" t="s">
        <v>157</v>
      </c>
      <c r="E143" s="1" t="s">
        <v>161</v>
      </c>
      <c r="F143" s="1" t="s">
        <v>167</v>
      </c>
      <c r="G143" s="1" t="s">
        <v>174</v>
      </c>
      <c r="H143" s="1" t="s">
        <v>180</v>
      </c>
      <c r="I143" s="1" t="s">
        <v>182</v>
      </c>
      <c r="J143" s="1" t="s">
        <v>188</v>
      </c>
      <c r="K143" s="1" t="s">
        <v>191</v>
      </c>
      <c r="L143" s="1" t="s">
        <v>192</v>
      </c>
      <c r="M143" s="1" t="s">
        <v>192</v>
      </c>
      <c r="N143" s="1" t="b">
        <v>1</v>
      </c>
      <c r="O143" s="1">
        <v>1</v>
      </c>
    </row>
    <row r="144" spans="1:15" x14ac:dyDescent="0.25">
      <c r="A144" s="1" t="s">
        <v>105</v>
      </c>
      <c r="B144" s="1" t="s">
        <v>133</v>
      </c>
      <c r="C144" s="1" t="s">
        <v>153</v>
      </c>
      <c r="D144" s="1" t="s">
        <v>159</v>
      </c>
      <c r="E144" s="1" t="s">
        <v>164</v>
      </c>
      <c r="F144" s="1" t="s">
        <v>170</v>
      </c>
      <c r="G144" s="1" t="s">
        <v>178</v>
      </c>
      <c r="H144" s="1" t="s">
        <v>180</v>
      </c>
      <c r="I144" s="1" t="s">
        <v>182</v>
      </c>
      <c r="J144" s="1" t="s">
        <v>188</v>
      </c>
      <c r="K144" s="1" t="s">
        <v>191</v>
      </c>
      <c r="L144" s="1" t="s">
        <v>208</v>
      </c>
      <c r="M144" s="1" t="s">
        <v>219</v>
      </c>
      <c r="N144" s="1" t="b">
        <v>0</v>
      </c>
      <c r="O144" s="1">
        <v>4</v>
      </c>
    </row>
    <row r="145" spans="1:15" x14ac:dyDescent="0.25">
      <c r="A145" s="1" t="s">
        <v>31</v>
      </c>
      <c r="B145" s="1" t="s">
        <v>133</v>
      </c>
      <c r="C145" s="1" t="s">
        <v>149</v>
      </c>
      <c r="D145" s="1" t="s">
        <v>159</v>
      </c>
      <c r="E145" s="1" t="s">
        <v>161</v>
      </c>
      <c r="F145" s="1" t="s">
        <v>168</v>
      </c>
      <c r="G145" s="1" t="s">
        <v>174</v>
      </c>
      <c r="H145" s="1" t="s">
        <v>181</v>
      </c>
      <c r="I145" s="1" t="s">
        <v>184</v>
      </c>
      <c r="J145" s="1" t="s">
        <v>188</v>
      </c>
      <c r="K145" s="1" t="s">
        <v>191</v>
      </c>
      <c r="L145" s="1" t="s">
        <v>210</v>
      </c>
      <c r="M145" s="1" t="s">
        <v>220</v>
      </c>
      <c r="N145" s="1" t="b">
        <v>0</v>
      </c>
      <c r="O145" s="1">
        <v>1</v>
      </c>
    </row>
    <row r="146" spans="1:15" x14ac:dyDescent="0.25">
      <c r="A146" s="1" t="s">
        <v>106</v>
      </c>
      <c r="B146" s="1" t="s">
        <v>127</v>
      </c>
      <c r="C146" s="1" t="s">
        <v>148</v>
      </c>
      <c r="D146" s="1" t="s">
        <v>159</v>
      </c>
      <c r="E146" s="1" t="s">
        <v>166</v>
      </c>
      <c r="F146" s="1" t="s">
        <v>169</v>
      </c>
      <c r="G146" s="1" t="s">
        <v>178</v>
      </c>
      <c r="H146" s="1" t="s">
        <v>180</v>
      </c>
      <c r="I146" s="1" t="s">
        <v>183</v>
      </c>
      <c r="J146" s="1" t="s">
        <v>188</v>
      </c>
      <c r="K146" s="1" t="s">
        <v>191</v>
      </c>
      <c r="L146" s="1" t="s">
        <v>195</v>
      </c>
      <c r="M146" s="1" t="s">
        <v>212</v>
      </c>
      <c r="N146" s="1" t="b">
        <v>0</v>
      </c>
      <c r="O146" s="1">
        <v>6</v>
      </c>
    </row>
    <row r="147" spans="1:15" x14ac:dyDescent="0.25">
      <c r="A147" s="1" t="s">
        <v>107</v>
      </c>
      <c r="B147" s="1" t="s">
        <v>126</v>
      </c>
      <c r="C147" s="1" t="s">
        <v>148</v>
      </c>
      <c r="D147" s="1" t="s">
        <v>157</v>
      </c>
      <c r="E147" s="1" t="s">
        <v>163</v>
      </c>
      <c r="F147" s="1" t="s">
        <v>170</v>
      </c>
      <c r="G147" s="1" t="s">
        <v>177</v>
      </c>
      <c r="H147" s="1" t="s">
        <v>181</v>
      </c>
      <c r="I147" s="1" t="s">
        <v>184</v>
      </c>
      <c r="J147" s="1" t="s">
        <v>188</v>
      </c>
      <c r="K147" s="1" t="s">
        <v>191</v>
      </c>
      <c r="L147" s="1" t="s">
        <v>197</v>
      </c>
      <c r="M147" s="1" t="s">
        <v>197</v>
      </c>
      <c r="N147" s="1" t="b">
        <v>1</v>
      </c>
      <c r="O147" s="1">
        <v>3</v>
      </c>
    </row>
    <row r="148" spans="1:15" x14ac:dyDescent="0.25">
      <c r="A148" s="1" t="s">
        <v>42</v>
      </c>
      <c r="B148" s="1" t="s">
        <v>133</v>
      </c>
      <c r="C148" s="1" t="s">
        <v>149</v>
      </c>
      <c r="D148" s="1" t="s">
        <v>158</v>
      </c>
      <c r="E148" s="1" t="s">
        <v>163</v>
      </c>
      <c r="F148" s="1" t="s">
        <v>167</v>
      </c>
      <c r="G148" s="1" t="s">
        <v>177</v>
      </c>
      <c r="H148" s="1" t="s">
        <v>181</v>
      </c>
      <c r="I148" s="1" t="s">
        <v>184</v>
      </c>
      <c r="J148" s="1" t="s">
        <v>188</v>
      </c>
      <c r="K148" s="1" t="s">
        <v>191</v>
      </c>
      <c r="L148" s="1" t="s">
        <v>194</v>
      </c>
      <c r="M148" s="1" t="s">
        <v>194</v>
      </c>
      <c r="N148" s="1" t="b">
        <v>1</v>
      </c>
      <c r="O148" s="1">
        <v>3</v>
      </c>
    </row>
    <row r="149" spans="1:15" x14ac:dyDescent="0.25">
      <c r="A149" s="1" t="s">
        <v>108</v>
      </c>
      <c r="B149" s="1" t="s">
        <v>125</v>
      </c>
      <c r="C149" s="1" t="s">
        <v>156</v>
      </c>
      <c r="D149" s="1" t="s">
        <v>159</v>
      </c>
      <c r="E149" s="1" t="s">
        <v>164</v>
      </c>
      <c r="F149" s="1" t="s">
        <v>170</v>
      </c>
      <c r="G149" s="1" t="s">
        <v>178</v>
      </c>
      <c r="H149" s="1" t="s">
        <v>180</v>
      </c>
      <c r="I149" s="1" t="s">
        <v>185</v>
      </c>
      <c r="J149" s="1" t="s">
        <v>188</v>
      </c>
      <c r="K149" s="1" t="s">
        <v>191</v>
      </c>
      <c r="L149" s="1" t="s">
        <v>210</v>
      </c>
      <c r="M149" s="1" t="s">
        <v>220</v>
      </c>
      <c r="N149" s="1" t="b">
        <v>0</v>
      </c>
      <c r="O149" s="1">
        <v>4</v>
      </c>
    </row>
    <row r="150" spans="1:15" x14ac:dyDescent="0.25">
      <c r="A150" s="1" t="s">
        <v>42</v>
      </c>
      <c r="B150" s="1" t="s">
        <v>133</v>
      </c>
      <c r="C150" s="1" t="s">
        <v>149</v>
      </c>
      <c r="D150" s="1" t="s">
        <v>158</v>
      </c>
      <c r="E150" s="1" t="s">
        <v>163</v>
      </c>
      <c r="F150" s="1" t="s">
        <v>170</v>
      </c>
      <c r="G150" s="1" t="s">
        <v>177</v>
      </c>
      <c r="H150" s="1" t="s">
        <v>181</v>
      </c>
      <c r="I150" s="1" t="s">
        <v>182</v>
      </c>
      <c r="J150" s="1" t="s">
        <v>188</v>
      </c>
      <c r="K150" s="1" t="s">
        <v>191</v>
      </c>
      <c r="L150" s="1" t="s">
        <v>197</v>
      </c>
      <c r="M150" s="1" t="s">
        <v>197</v>
      </c>
      <c r="N150" s="1" t="b">
        <v>1</v>
      </c>
      <c r="O150" s="1">
        <v>3</v>
      </c>
    </row>
    <row r="151" spans="1:15" x14ac:dyDescent="0.25">
      <c r="A151" s="1" t="s">
        <v>23</v>
      </c>
      <c r="B151" s="1" t="s">
        <v>125</v>
      </c>
      <c r="C151" s="1" t="s">
        <v>152</v>
      </c>
      <c r="D151" s="1" t="s">
        <v>157</v>
      </c>
      <c r="E151" s="1" t="s">
        <v>161</v>
      </c>
      <c r="F151" s="1" t="s">
        <v>169</v>
      </c>
      <c r="G151" s="1" t="s">
        <v>179</v>
      </c>
      <c r="H151" s="1" t="s">
        <v>180</v>
      </c>
      <c r="I151" s="1" t="s">
        <v>182</v>
      </c>
      <c r="J151" s="1" t="s">
        <v>189</v>
      </c>
      <c r="K151" s="1" t="s">
        <v>190</v>
      </c>
      <c r="L151" s="1" t="s">
        <v>194</v>
      </c>
      <c r="M151" s="1" t="s">
        <v>194</v>
      </c>
      <c r="N151" s="1" t="b">
        <v>1</v>
      </c>
      <c r="O151" s="1">
        <v>1</v>
      </c>
    </row>
    <row r="152" spans="1:15" x14ac:dyDescent="0.25">
      <c r="A152" s="1" t="s">
        <v>48</v>
      </c>
      <c r="B152" s="1" t="s">
        <v>123</v>
      </c>
      <c r="C152" s="1" t="s">
        <v>149</v>
      </c>
      <c r="D152" s="1" t="s">
        <v>157</v>
      </c>
      <c r="E152" s="1" t="s">
        <v>161</v>
      </c>
      <c r="F152" s="1" t="s">
        <v>168</v>
      </c>
      <c r="G152" s="1" t="s">
        <v>176</v>
      </c>
      <c r="H152" s="1" t="s">
        <v>181</v>
      </c>
      <c r="I152" s="1" t="s">
        <v>184</v>
      </c>
      <c r="J152" s="1" t="s">
        <v>189</v>
      </c>
      <c r="K152" s="1" t="s">
        <v>190</v>
      </c>
      <c r="L152" s="1" t="s">
        <v>193</v>
      </c>
      <c r="M152" s="1" t="s">
        <v>193</v>
      </c>
      <c r="N152" s="1" t="b">
        <v>1</v>
      </c>
      <c r="O152" s="1">
        <v>1</v>
      </c>
    </row>
    <row r="153" spans="1:15" x14ac:dyDescent="0.25">
      <c r="A153" s="1" t="s">
        <v>25</v>
      </c>
      <c r="B153" s="1" t="s">
        <v>127</v>
      </c>
      <c r="C153" s="1" t="s">
        <v>151</v>
      </c>
      <c r="D153" s="1" t="s">
        <v>159</v>
      </c>
      <c r="E153" s="1" t="s">
        <v>161</v>
      </c>
      <c r="F153" s="1" t="s">
        <v>167</v>
      </c>
      <c r="G153" s="1" t="s">
        <v>174</v>
      </c>
      <c r="H153" s="1" t="s">
        <v>181</v>
      </c>
      <c r="I153" s="1" t="s">
        <v>184</v>
      </c>
      <c r="J153" s="1" t="s">
        <v>188</v>
      </c>
      <c r="K153" s="1" t="s">
        <v>191</v>
      </c>
      <c r="L153" s="1" t="s">
        <v>199</v>
      </c>
      <c r="M153" s="1" t="s">
        <v>214</v>
      </c>
      <c r="N153" s="1" t="b">
        <v>0</v>
      </c>
      <c r="O153" s="1">
        <v>1</v>
      </c>
    </row>
    <row r="154" spans="1:15" x14ac:dyDescent="0.25">
      <c r="A154" s="1" t="s">
        <v>42</v>
      </c>
      <c r="B154" s="1" t="s">
        <v>133</v>
      </c>
      <c r="C154" s="1" t="s">
        <v>149</v>
      </c>
      <c r="D154" s="1" t="s">
        <v>160</v>
      </c>
      <c r="E154" s="1" t="s">
        <v>164</v>
      </c>
      <c r="F154" s="1" t="s">
        <v>167</v>
      </c>
      <c r="G154" s="1" t="s">
        <v>178</v>
      </c>
      <c r="H154" s="1" t="s">
        <v>180</v>
      </c>
      <c r="I154" s="1" t="s">
        <v>184</v>
      </c>
      <c r="J154" s="1" t="s">
        <v>188</v>
      </c>
      <c r="K154" s="1" t="s">
        <v>191</v>
      </c>
      <c r="L154" s="1" t="s">
        <v>195</v>
      </c>
      <c r="M154" s="1" t="s">
        <v>212</v>
      </c>
      <c r="N154" s="1" t="b">
        <v>0</v>
      </c>
      <c r="O154" s="1">
        <v>4</v>
      </c>
    </row>
    <row r="155" spans="1:15" x14ac:dyDescent="0.25">
      <c r="A155" s="1" t="s">
        <v>109</v>
      </c>
      <c r="B155" s="1" t="s">
        <v>132</v>
      </c>
      <c r="C155" s="1" t="s">
        <v>150</v>
      </c>
      <c r="D155" s="1" t="s">
        <v>157</v>
      </c>
      <c r="E155" s="1" t="s">
        <v>161</v>
      </c>
      <c r="F155" s="1" t="s">
        <v>171</v>
      </c>
      <c r="G155" s="1" t="s">
        <v>176</v>
      </c>
      <c r="H155" s="1" t="s">
        <v>181</v>
      </c>
      <c r="I155" s="1" t="s">
        <v>182</v>
      </c>
      <c r="J155" s="1" t="s">
        <v>189</v>
      </c>
      <c r="K155" s="1" t="s">
        <v>190</v>
      </c>
      <c r="L155" s="1" t="s">
        <v>193</v>
      </c>
      <c r="M155" s="1" t="s">
        <v>193</v>
      </c>
      <c r="N155" s="1" t="b">
        <v>1</v>
      </c>
      <c r="O155" s="1">
        <v>1</v>
      </c>
    </row>
    <row r="156" spans="1:15" x14ac:dyDescent="0.25">
      <c r="A156" s="1" t="s">
        <v>104</v>
      </c>
      <c r="B156" s="1" t="s">
        <v>126</v>
      </c>
      <c r="C156" s="1" t="s">
        <v>149</v>
      </c>
      <c r="D156" s="1" t="s">
        <v>157</v>
      </c>
      <c r="E156" s="1" t="s">
        <v>161</v>
      </c>
      <c r="F156" s="1" t="s">
        <v>168</v>
      </c>
      <c r="G156" s="1" t="s">
        <v>174</v>
      </c>
      <c r="H156" s="1" t="s">
        <v>180</v>
      </c>
      <c r="I156" s="1" t="s">
        <v>182</v>
      </c>
      <c r="J156" s="1" t="s">
        <v>188</v>
      </c>
      <c r="K156" s="1" t="s">
        <v>191</v>
      </c>
      <c r="L156" s="1" t="s">
        <v>209</v>
      </c>
      <c r="M156" s="1" t="s">
        <v>209</v>
      </c>
      <c r="N156" s="1" t="b">
        <v>1</v>
      </c>
      <c r="O156" s="1">
        <v>1</v>
      </c>
    </row>
    <row r="157" spans="1:15" x14ac:dyDescent="0.25">
      <c r="A157" s="1" t="s">
        <v>110</v>
      </c>
      <c r="B157" s="1" t="s">
        <v>126</v>
      </c>
      <c r="C157" s="1" t="s">
        <v>148</v>
      </c>
      <c r="D157" s="1" t="s">
        <v>159</v>
      </c>
      <c r="E157" s="1" t="s">
        <v>164</v>
      </c>
      <c r="F157" s="1" t="s">
        <v>168</v>
      </c>
      <c r="G157" s="1" t="s">
        <v>178</v>
      </c>
      <c r="H157" s="1" t="s">
        <v>181</v>
      </c>
      <c r="I157" s="1" t="s">
        <v>183</v>
      </c>
      <c r="J157" s="1" t="s">
        <v>188</v>
      </c>
      <c r="K157" s="1" t="s">
        <v>191</v>
      </c>
      <c r="L157" s="1" t="s">
        <v>204</v>
      </c>
      <c r="M157" s="1" t="s">
        <v>217</v>
      </c>
      <c r="N157" s="1" t="b">
        <v>0</v>
      </c>
      <c r="O157" s="1">
        <v>4</v>
      </c>
    </row>
    <row r="158" spans="1:15" x14ac:dyDescent="0.25">
      <c r="A158" s="1" t="s">
        <v>42</v>
      </c>
      <c r="B158" s="1" t="s">
        <v>133</v>
      </c>
      <c r="C158" s="1" t="s">
        <v>149</v>
      </c>
      <c r="D158" s="1" t="s">
        <v>158</v>
      </c>
      <c r="E158" s="1" t="s">
        <v>162</v>
      </c>
      <c r="F158" s="1" t="s">
        <v>172</v>
      </c>
      <c r="G158" s="1" t="s">
        <v>175</v>
      </c>
      <c r="H158" s="1" t="s">
        <v>181</v>
      </c>
      <c r="I158" s="1" t="s">
        <v>182</v>
      </c>
      <c r="J158" s="1" t="s">
        <v>188</v>
      </c>
      <c r="K158" s="1" t="s">
        <v>191</v>
      </c>
      <c r="L158" s="1" t="s">
        <v>192</v>
      </c>
      <c r="M158" s="1" t="s">
        <v>192</v>
      </c>
      <c r="N158" s="1" t="b">
        <v>1</v>
      </c>
      <c r="O158" s="1">
        <v>2</v>
      </c>
    </row>
    <row r="159" spans="1:15" x14ac:dyDescent="0.25">
      <c r="A159" s="1" t="s">
        <v>71</v>
      </c>
      <c r="B159" s="1" t="s">
        <v>133</v>
      </c>
      <c r="C159" s="1" t="s">
        <v>149</v>
      </c>
      <c r="D159" s="1" t="s">
        <v>158</v>
      </c>
      <c r="E159" s="1" t="s">
        <v>163</v>
      </c>
      <c r="F159" s="1" t="s">
        <v>170</v>
      </c>
      <c r="G159" s="1" t="s">
        <v>177</v>
      </c>
      <c r="H159" s="1" t="s">
        <v>181</v>
      </c>
      <c r="I159" s="1" t="s">
        <v>182</v>
      </c>
      <c r="J159" s="1" t="s">
        <v>188</v>
      </c>
      <c r="K159" s="1" t="s">
        <v>191</v>
      </c>
      <c r="L159" s="1" t="s">
        <v>201</v>
      </c>
      <c r="M159" s="1" t="s">
        <v>201</v>
      </c>
      <c r="N159" s="1" t="b">
        <v>1</v>
      </c>
      <c r="O159" s="1">
        <v>3</v>
      </c>
    </row>
    <row r="160" spans="1:15" x14ac:dyDescent="0.25">
      <c r="A160" s="1" t="s">
        <v>111</v>
      </c>
      <c r="B160" s="1" t="s">
        <v>142</v>
      </c>
      <c r="C160" s="1" t="s">
        <v>156</v>
      </c>
      <c r="D160" s="1" t="s">
        <v>159</v>
      </c>
      <c r="E160" s="1" t="s">
        <v>165</v>
      </c>
      <c r="F160" s="1" t="s">
        <v>170</v>
      </c>
      <c r="G160" s="1" t="s">
        <v>178</v>
      </c>
      <c r="H160" s="1" t="s">
        <v>180</v>
      </c>
      <c r="I160" s="1" t="s">
        <v>182</v>
      </c>
      <c r="J160" s="1" t="s">
        <v>188</v>
      </c>
      <c r="K160" s="1" t="s">
        <v>191</v>
      </c>
      <c r="L160" s="1" t="s">
        <v>211</v>
      </c>
      <c r="M160" s="1" t="s">
        <v>221</v>
      </c>
      <c r="N160" s="1" t="b">
        <v>0</v>
      </c>
      <c r="O160" s="1">
        <v>5</v>
      </c>
    </row>
    <row r="161" spans="1:15" x14ac:dyDescent="0.25">
      <c r="A161" s="1" t="s">
        <v>32</v>
      </c>
      <c r="B161" s="1" t="s">
        <v>132</v>
      </c>
      <c r="C161" s="1" t="s">
        <v>152</v>
      </c>
      <c r="D161" s="1" t="s">
        <v>157</v>
      </c>
      <c r="E161" s="1" t="s">
        <v>161</v>
      </c>
      <c r="F161" s="1" t="s">
        <v>172</v>
      </c>
      <c r="G161" s="1" t="s">
        <v>176</v>
      </c>
      <c r="H161" s="1" t="s">
        <v>180</v>
      </c>
      <c r="I161" s="1" t="s">
        <v>184</v>
      </c>
      <c r="J161" s="1" t="s">
        <v>187</v>
      </c>
      <c r="K161" s="1" t="s">
        <v>190</v>
      </c>
      <c r="L161" s="1" t="s">
        <v>192</v>
      </c>
      <c r="M161" s="1" t="s">
        <v>192</v>
      </c>
      <c r="N161" s="1" t="b">
        <v>1</v>
      </c>
      <c r="O161" s="1">
        <v>1</v>
      </c>
    </row>
    <row r="162" spans="1:15" x14ac:dyDescent="0.25">
      <c r="A162" s="1" t="s">
        <v>42</v>
      </c>
      <c r="B162" s="1" t="s">
        <v>133</v>
      </c>
      <c r="C162" s="1" t="s">
        <v>149</v>
      </c>
      <c r="D162" s="1" t="s">
        <v>158</v>
      </c>
      <c r="E162" s="1" t="s">
        <v>163</v>
      </c>
      <c r="F162" s="1" t="s">
        <v>168</v>
      </c>
      <c r="G162" s="1" t="s">
        <v>177</v>
      </c>
      <c r="H162" s="1" t="s">
        <v>181</v>
      </c>
      <c r="I162" s="1" t="s">
        <v>183</v>
      </c>
      <c r="J162" s="1" t="s">
        <v>188</v>
      </c>
      <c r="K162" s="1" t="s">
        <v>191</v>
      </c>
      <c r="L162" s="1" t="s">
        <v>193</v>
      </c>
      <c r="M162" s="1" t="s">
        <v>193</v>
      </c>
      <c r="N162" s="1" t="b">
        <v>1</v>
      </c>
      <c r="O162" s="1">
        <v>3</v>
      </c>
    </row>
    <row r="163" spans="1:15" x14ac:dyDescent="0.25">
      <c r="A163" s="1" t="s">
        <v>56</v>
      </c>
      <c r="B163" s="1" t="s">
        <v>125</v>
      </c>
      <c r="C163" s="1" t="s">
        <v>152</v>
      </c>
      <c r="D163" s="1" t="s">
        <v>159</v>
      </c>
      <c r="E163" s="1" t="s">
        <v>161</v>
      </c>
      <c r="F163" s="1" t="s">
        <v>172</v>
      </c>
      <c r="G163" s="1" t="s">
        <v>176</v>
      </c>
      <c r="H163" s="1" t="s">
        <v>180</v>
      </c>
      <c r="I163" s="1" t="s">
        <v>184</v>
      </c>
      <c r="J163" s="1" t="s">
        <v>189</v>
      </c>
      <c r="K163" s="1" t="s">
        <v>190</v>
      </c>
      <c r="L163" s="1" t="s">
        <v>200</v>
      </c>
      <c r="M163" s="1" t="s">
        <v>215</v>
      </c>
      <c r="N163" s="1" t="b">
        <v>0</v>
      </c>
      <c r="O163" s="1">
        <v>1</v>
      </c>
    </row>
    <row r="164" spans="1:15" x14ac:dyDescent="0.25">
      <c r="A164" s="1" t="s">
        <v>42</v>
      </c>
      <c r="B164" s="1" t="s">
        <v>133</v>
      </c>
      <c r="C164" s="1" t="s">
        <v>149</v>
      </c>
      <c r="D164" s="1" t="s">
        <v>158</v>
      </c>
      <c r="E164" s="1" t="s">
        <v>162</v>
      </c>
      <c r="F164" s="1" t="s">
        <v>168</v>
      </c>
      <c r="G164" s="1" t="s">
        <v>175</v>
      </c>
      <c r="H164" s="1" t="s">
        <v>181</v>
      </c>
      <c r="I164" s="1" t="s">
        <v>182</v>
      </c>
      <c r="J164" s="1" t="s">
        <v>188</v>
      </c>
      <c r="K164" s="1" t="s">
        <v>191</v>
      </c>
      <c r="L164" s="1" t="s">
        <v>198</v>
      </c>
      <c r="M164" s="1" t="s">
        <v>198</v>
      </c>
      <c r="N164" s="1" t="b">
        <v>1</v>
      </c>
      <c r="O164" s="1">
        <v>2</v>
      </c>
    </row>
    <row r="165" spans="1:15" x14ac:dyDescent="0.25">
      <c r="A165" s="1" t="s">
        <v>112</v>
      </c>
      <c r="B165" s="1" t="s">
        <v>136</v>
      </c>
      <c r="C165" s="1" t="s">
        <v>156</v>
      </c>
      <c r="D165" s="1" t="s">
        <v>159</v>
      </c>
      <c r="E165" s="1" t="s">
        <v>166</v>
      </c>
      <c r="F165" s="1" t="s">
        <v>169</v>
      </c>
      <c r="G165" s="1" t="s">
        <v>178</v>
      </c>
      <c r="H165" s="1" t="s">
        <v>181</v>
      </c>
      <c r="I165" s="1" t="s">
        <v>182</v>
      </c>
      <c r="J165" s="1" t="s">
        <v>188</v>
      </c>
      <c r="K165" s="1" t="s">
        <v>191</v>
      </c>
      <c r="L165" s="1" t="s">
        <v>199</v>
      </c>
      <c r="M165" s="1" t="s">
        <v>214</v>
      </c>
      <c r="N165" s="1" t="b">
        <v>0</v>
      </c>
      <c r="O165" s="1">
        <v>6</v>
      </c>
    </row>
    <row r="166" spans="1:15" x14ac:dyDescent="0.25">
      <c r="A166" s="1" t="s">
        <v>113</v>
      </c>
      <c r="B166" s="1" t="s">
        <v>132</v>
      </c>
      <c r="C166" s="1" t="s">
        <v>148</v>
      </c>
      <c r="D166" s="1" t="s">
        <v>157</v>
      </c>
      <c r="E166" s="1" t="s">
        <v>162</v>
      </c>
      <c r="F166" s="1" t="s">
        <v>170</v>
      </c>
      <c r="G166" s="1" t="s">
        <v>174</v>
      </c>
      <c r="H166" s="1" t="s">
        <v>180</v>
      </c>
      <c r="I166" s="1" t="s">
        <v>185</v>
      </c>
      <c r="J166" s="1" t="s">
        <v>188</v>
      </c>
      <c r="K166" s="1" t="s">
        <v>191</v>
      </c>
      <c r="L166" s="1" t="s">
        <v>192</v>
      </c>
      <c r="M166" s="1" t="s">
        <v>192</v>
      </c>
      <c r="N166" s="1" t="b">
        <v>1</v>
      </c>
      <c r="O166" s="1">
        <v>2</v>
      </c>
    </row>
    <row r="167" spans="1:15" x14ac:dyDescent="0.25">
      <c r="A167" s="1" t="s">
        <v>42</v>
      </c>
      <c r="B167" s="1" t="s">
        <v>133</v>
      </c>
      <c r="C167" s="1" t="s">
        <v>149</v>
      </c>
      <c r="D167" s="1" t="s">
        <v>160</v>
      </c>
      <c r="E167" s="1" t="s">
        <v>164</v>
      </c>
      <c r="F167" s="1" t="s">
        <v>168</v>
      </c>
      <c r="G167" s="1" t="s">
        <v>178</v>
      </c>
      <c r="H167" s="1" t="s">
        <v>181</v>
      </c>
      <c r="I167" s="1" t="s">
        <v>184</v>
      </c>
      <c r="J167" s="1" t="s">
        <v>188</v>
      </c>
      <c r="K167" s="1" t="s">
        <v>191</v>
      </c>
      <c r="L167" s="1" t="s">
        <v>196</v>
      </c>
      <c r="M167" s="1" t="s">
        <v>213</v>
      </c>
      <c r="N167" s="1" t="b">
        <v>0</v>
      </c>
      <c r="O167" s="1">
        <v>4</v>
      </c>
    </row>
    <row r="168" spans="1:15" x14ac:dyDescent="0.25">
      <c r="A168" s="1" t="s">
        <v>88</v>
      </c>
      <c r="B168" s="1" t="s">
        <v>133</v>
      </c>
      <c r="C168" s="1" t="s">
        <v>149</v>
      </c>
      <c r="D168" s="1" t="s">
        <v>159</v>
      </c>
      <c r="E168" s="1" t="s">
        <v>162</v>
      </c>
      <c r="F168" s="1" t="s">
        <v>170</v>
      </c>
      <c r="G168" s="1" t="s">
        <v>175</v>
      </c>
      <c r="H168" s="1" t="s">
        <v>181</v>
      </c>
      <c r="I168" s="1" t="s">
        <v>184</v>
      </c>
      <c r="J168" s="1" t="s">
        <v>188</v>
      </c>
      <c r="K168" s="1" t="s">
        <v>191</v>
      </c>
      <c r="L168" s="1" t="s">
        <v>211</v>
      </c>
      <c r="M168" s="1" t="s">
        <v>221</v>
      </c>
      <c r="N168" s="1" t="b">
        <v>0</v>
      </c>
      <c r="O168" s="1">
        <v>2</v>
      </c>
    </row>
    <row r="169" spans="1:15" x14ac:dyDescent="0.25">
      <c r="A169" s="1" t="s">
        <v>16</v>
      </c>
      <c r="B169" s="1" t="s">
        <v>123</v>
      </c>
      <c r="C169" s="1" t="s">
        <v>149</v>
      </c>
      <c r="D169" s="1" t="s">
        <v>160</v>
      </c>
      <c r="E169" s="1" t="s">
        <v>163</v>
      </c>
      <c r="F169" s="1" t="s">
        <v>170</v>
      </c>
      <c r="G169" s="1" t="s">
        <v>177</v>
      </c>
      <c r="H169" s="1" t="s">
        <v>181</v>
      </c>
      <c r="I169" s="1" t="s">
        <v>182</v>
      </c>
      <c r="J169" s="1" t="s">
        <v>188</v>
      </c>
      <c r="K169" s="1" t="s">
        <v>191</v>
      </c>
      <c r="L169" s="1" t="s">
        <v>210</v>
      </c>
      <c r="M169" s="1" t="s">
        <v>220</v>
      </c>
      <c r="N169" s="1" t="b">
        <v>0</v>
      </c>
      <c r="O169" s="1">
        <v>3</v>
      </c>
    </row>
    <row r="170" spans="1:15" x14ac:dyDescent="0.25">
      <c r="A170" s="1" t="s">
        <v>114</v>
      </c>
      <c r="B170" s="1" t="s">
        <v>131</v>
      </c>
      <c r="C170" s="1" t="s">
        <v>151</v>
      </c>
      <c r="D170" s="1" t="s">
        <v>157</v>
      </c>
      <c r="E170" s="1" t="s">
        <v>161</v>
      </c>
      <c r="F170" s="1" t="s">
        <v>167</v>
      </c>
      <c r="G170" s="1" t="s">
        <v>176</v>
      </c>
      <c r="H170" s="1" t="s">
        <v>181</v>
      </c>
      <c r="I170" s="1" t="s">
        <v>184</v>
      </c>
      <c r="J170" s="1" t="s">
        <v>188</v>
      </c>
      <c r="K170" s="1" t="s">
        <v>191</v>
      </c>
      <c r="L170" s="1" t="s">
        <v>197</v>
      </c>
      <c r="M170" s="1" t="s">
        <v>197</v>
      </c>
      <c r="N170" s="1" t="b">
        <v>1</v>
      </c>
      <c r="O170" s="1">
        <v>1</v>
      </c>
    </row>
    <row r="171" spans="1:15" x14ac:dyDescent="0.25">
      <c r="A171" s="1" t="s">
        <v>86</v>
      </c>
      <c r="B171" s="1" t="s">
        <v>147</v>
      </c>
      <c r="C171" s="1" t="s">
        <v>151</v>
      </c>
      <c r="D171" s="1" t="s">
        <v>157</v>
      </c>
      <c r="E171" s="1" t="s">
        <v>162</v>
      </c>
      <c r="F171" s="1" t="s">
        <v>170</v>
      </c>
      <c r="G171" s="1" t="s">
        <v>174</v>
      </c>
      <c r="H171" s="1" t="s">
        <v>181</v>
      </c>
      <c r="I171" s="1" t="s">
        <v>183</v>
      </c>
      <c r="J171" s="1" t="s">
        <v>188</v>
      </c>
      <c r="K171" s="1" t="s">
        <v>191</v>
      </c>
      <c r="L171" s="1" t="s">
        <v>193</v>
      </c>
      <c r="M171" s="1" t="s">
        <v>193</v>
      </c>
      <c r="N171" s="1" t="b">
        <v>1</v>
      </c>
      <c r="O171" s="1">
        <v>2</v>
      </c>
    </row>
    <row r="172" spans="1:15" x14ac:dyDescent="0.25">
      <c r="A172" s="1" t="s">
        <v>65</v>
      </c>
      <c r="B172" s="1" t="s">
        <v>146</v>
      </c>
      <c r="C172" s="1" t="s">
        <v>150</v>
      </c>
      <c r="D172" s="1" t="s">
        <v>157</v>
      </c>
      <c r="E172" s="1" t="s">
        <v>161</v>
      </c>
      <c r="F172" s="1" t="s">
        <v>172</v>
      </c>
      <c r="G172" s="1" t="s">
        <v>176</v>
      </c>
      <c r="H172" s="1" t="s">
        <v>180</v>
      </c>
      <c r="I172" s="1" t="s">
        <v>183</v>
      </c>
      <c r="J172" s="1" t="s">
        <v>187</v>
      </c>
      <c r="K172" s="1" t="s">
        <v>190</v>
      </c>
      <c r="L172" s="1" t="s">
        <v>194</v>
      </c>
      <c r="M172" s="1" t="s">
        <v>194</v>
      </c>
      <c r="N172" s="1" t="b">
        <v>1</v>
      </c>
      <c r="O172" s="1">
        <v>1</v>
      </c>
    </row>
    <row r="173" spans="1:15" x14ac:dyDescent="0.25">
      <c r="A173" s="1" t="s">
        <v>115</v>
      </c>
      <c r="B173" s="1" t="s">
        <v>129</v>
      </c>
      <c r="C173" s="1" t="s">
        <v>151</v>
      </c>
      <c r="D173" s="1" t="s">
        <v>157</v>
      </c>
      <c r="E173" s="1" t="s">
        <v>161</v>
      </c>
      <c r="F173" s="1" t="s">
        <v>172</v>
      </c>
      <c r="G173" s="1" t="s">
        <v>174</v>
      </c>
      <c r="H173" s="1" t="s">
        <v>180</v>
      </c>
      <c r="I173" s="1" t="s">
        <v>182</v>
      </c>
      <c r="J173" s="1" t="s">
        <v>188</v>
      </c>
      <c r="K173" s="1" t="s">
        <v>191</v>
      </c>
      <c r="L173" s="1" t="s">
        <v>198</v>
      </c>
      <c r="M173" s="1" t="s">
        <v>198</v>
      </c>
      <c r="N173" s="1" t="b">
        <v>1</v>
      </c>
      <c r="O173" s="1">
        <v>1</v>
      </c>
    </row>
    <row r="174" spans="1:15" x14ac:dyDescent="0.25">
      <c r="A174" s="1" t="s">
        <v>46</v>
      </c>
      <c r="B174" s="1" t="s">
        <v>126</v>
      </c>
      <c r="C174" s="1" t="s">
        <v>154</v>
      </c>
      <c r="D174" s="1" t="s">
        <v>157</v>
      </c>
      <c r="E174" s="1" t="s">
        <v>161</v>
      </c>
      <c r="F174" s="1" t="s">
        <v>170</v>
      </c>
      <c r="G174" s="1" t="s">
        <v>174</v>
      </c>
      <c r="H174" s="1" t="s">
        <v>181</v>
      </c>
      <c r="I174" s="1" t="s">
        <v>184</v>
      </c>
      <c r="J174" s="1" t="s">
        <v>188</v>
      </c>
      <c r="K174" s="1" t="s">
        <v>191</v>
      </c>
      <c r="L174" s="1" t="s">
        <v>198</v>
      </c>
      <c r="M174" s="1" t="s">
        <v>198</v>
      </c>
      <c r="N174" s="1" t="b">
        <v>1</v>
      </c>
      <c r="O174" s="1">
        <v>1</v>
      </c>
    </row>
    <row r="175" spans="1:15" x14ac:dyDescent="0.25">
      <c r="A175" s="1" t="s">
        <v>78</v>
      </c>
      <c r="B175" s="1" t="s">
        <v>133</v>
      </c>
      <c r="C175" s="1" t="s">
        <v>149</v>
      </c>
      <c r="D175" s="1" t="s">
        <v>159</v>
      </c>
      <c r="E175" s="1" t="s">
        <v>163</v>
      </c>
      <c r="F175" s="1" t="s">
        <v>169</v>
      </c>
      <c r="G175" s="1" t="s">
        <v>177</v>
      </c>
      <c r="H175" s="1" t="s">
        <v>181</v>
      </c>
      <c r="I175" s="1" t="s">
        <v>185</v>
      </c>
      <c r="J175" s="1" t="s">
        <v>189</v>
      </c>
      <c r="K175" s="1" t="s">
        <v>190</v>
      </c>
      <c r="L175" s="1" t="s">
        <v>208</v>
      </c>
      <c r="M175" s="1" t="s">
        <v>219</v>
      </c>
      <c r="N175" s="1" t="b">
        <v>0</v>
      </c>
      <c r="O175" s="1">
        <v>3</v>
      </c>
    </row>
    <row r="176" spans="1:15" x14ac:dyDescent="0.25">
      <c r="A176" s="1" t="s">
        <v>116</v>
      </c>
      <c r="B176" s="1" t="s">
        <v>142</v>
      </c>
      <c r="C176" s="1" t="s">
        <v>148</v>
      </c>
      <c r="D176" s="1" t="s">
        <v>159</v>
      </c>
      <c r="E176" s="1" t="s">
        <v>164</v>
      </c>
      <c r="F176" s="1" t="s">
        <v>167</v>
      </c>
      <c r="G176" s="1" t="s">
        <v>178</v>
      </c>
      <c r="H176" s="1" t="s">
        <v>181</v>
      </c>
      <c r="I176" s="1" t="s">
        <v>182</v>
      </c>
      <c r="J176" s="1" t="s">
        <v>188</v>
      </c>
      <c r="K176" s="1" t="s">
        <v>191</v>
      </c>
      <c r="L176" s="1" t="s">
        <v>211</v>
      </c>
      <c r="M176" s="1" t="s">
        <v>221</v>
      </c>
      <c r="N176" s="1" t="b">
        <v>0</v>
      </c>
      <c r="O176" s="1">
        <v>4</v>
      </c>
    </row>
    <row r="177" spans="1:15" x14ac:dyDescent="0.25">
      <c r="A177" s="1" t="s">
        <v>23</v>
      </c>
      <c r="B177" s="1" t="s">
        <v>125</v>
      </c>
      <c r="C177" s="1" t="s">
        <v>152</v>
      </c>
      <c r="D177" s="1" t="s">
        <v>159</v>
      </c>
      <c r="E177" s="1" t="s">
        <v>161</v>
      </c>
      <c r="F177" s="1" t="s">
        <v>173</v>
      </c>
      <c r="G177" s="1" t="s">
        <v>176</v>
      </c>
      <c r="H177" s="1" t="s">
        <v>180</v>
      </c>
      <c r="I177" s="1" t="s">
        <v>184</v>
      </c>
      <c r="J177" s="1" t="s">
        <v>189</v>
      </c>
      <c r="K177" s="1" t="s">
        <v>190</v>
      </c>
      <c r="L177" s="1" t="s">
        <v>200</v>
      </c>
      <c r="M177" s="1" t="s">
        <v>215</v>
      </c>
      <c r="N177" s="1" t="b">
        <v>0</v>
      </c>
      <c r="O177" s="1">
        <v>1</v>
      </c>
    </row>
    <row r="178" spans="1:15" x14ac:dyDescent="0.25">
      <c r="A178" s="1" t="s">
        <v>36</v>
      </c>
      <c r="B178" s="1" t="s">
        <v>125</v>
      </c>
      <c r="C178" s="1" t="s">
        <v>153</v>
      </c>
      <c r="D178" s="1" t="s">
        <v>159</v>
      </c>
      <c r="E178" s="1" t="s">
        <v>163</v>
      </c>
      <c r="F178" s="1" t="s">
        <v>169</v>
      </c>
      <c r="G178" s="1" t="s">
        <v>178</v>
      </c>
      <c r="H178" s="1" t="s">
        <v>181</v>
      </c>
      <c r="I178" s="1" t="s">
        <v>183</v>
      </c>
      <c r="J178" s="1" t="s">
        <v>189</v>
      </c>
      <c r="K178" s="1" t="s">
        <v>190</v>
      </c>
      <c r="L178" s="1" t="s">
        <v>196</v>
      </c>
      <c r="M178" s="1" t="s">
        <v>213</v>
      </c>
      <c r="N178" s="1" t="b">
        <v>0</v>
      </c>
      <c r="O178" s="1">
        <v>3</v>
      </c>
    </row>
    <row r="179" spans="1:15" x14ac:dyDescent="0.25">
      <c r="A179" s="1" t="s">
        <v>48</v>
      </c>
      <c r="B179" s="1" t="s">
        <v>123</v>
      </c>
      <c r="C179" s="1" t="s">
        <v>149</v>
      </c>
      <c r="D179" s="1" t="s">
        <v>157</v>
      </c>
      <c r="E179" s="1" t="s">
        <v>161</v>
      </c>
      <c r="F179" s="1" t="s">
        <v>167</v>
      </c>
      <c r="G179" s="1" t="s">
        <v>176</v>
      </c>
      <c r="H179" s="1" t="s">
        <v>181</v>
      </c>
      <c r="I179" s="1" t="s">
        <v>182</v>
      </c>
      <c r="J179" s="1" t="s">
        <v>189</v>
      </c>
      <c r="K179" s="1" t="s">
        <v>190</v>
      </c>
      <c r="L179" s="1" t="s">
        <v>205</v>
      </c>
      <c r="M179" s="1" t="s">
        <v>205</v>
      </c>
      <c r="N179" s="1" t="b">
        <v>1</v>
      </c>
      <c r="O179" s="1">
        <v>1</v>
      </c>
    </row>
    <row r="180" spans="1:15" x14ac:dyDescent="0.25">
      <c r="A180" s="1" t="s">
        <v>42</v>
      </c>
      <c r="B180" s="1" t="s">
        <v>133</v>
      </c>
      <c r="C180" s="1" t="s">
        <v>149</v>
      </c>
      <c r="D180" s="1" t="s">
        <v>160</v>
      </c>
      <c r="E180" s="1" t="s">
        <v>163</v>
      </c>
      <c r="F180" s="1" t="s">
        <v>172</v>
      </c>
      <c r="G180" s="1" t="s">
        <v>177</v>
      </c>
      <c r="H180" s="1" t="s">
        <v>181</v>
      </c>
      <c r="I180" s="1" t="s">
        <v>184</v>
      </c>
      <c r="J180" s="1" t="s">
        <v>188</v>
      </c>
      <c r="K180" s="1" t="s">
        <v>191</v>
      </c>
      <c r="L180" s="1" t="s">
        <v>200</v>
      </c>
      <c r="M180" s="1" t="s">
        <v>215</v>
      </c>
      <c r="N180" s="1" t="b">
        <v>0</v>
      </c>
      <c r="O180" s="1">
        <v>3</v>
      </c>
    </row>
    <row r="181" spans="1:15" x14ac:dyDescent="0.25">
      <c r="A181" s="1" t="s">
        <v>42</v>
      </c>
      <c r="B181" s="1" t="s">
        <v>133</v>
      </c>
      <c r="C181" s="1" t="s">
        <v>149</v>
      </c>
      <c r="D181" s="1" t="s">
        <v>158</v>
      </c>
      <c r="E181" s="1" t="s">
        <v>163</v>
      </c>
      <c r="F181" s="1" t="s">
        <v>168</v>
      </c>
      <c r="G181" s="1" t="s">
        <v>177</v>
      </c>
      <c r="H181" s="1" t="s">
        <v>181</v>
      </c>
      <c r="I181" s="1" t="s">
        <v>182</v>
      </c>
      <c r="J181" s="1" t="s">
        <v>188</v>
      </c>
      <c r="K181" s="1" t="s">
        <v>191</v>
      </c>
      <c r="L181" s="1" t="s">
        <v>193</v>
      </c>
      <c r="M181" s="1" t="s">
        <v>193</v>
      </c>
      <c r="N181" s="1" t="b">
        <v>1</v>
      </c>
      <c r="O181" s="1">
        <v>3</v>
      </c>
    </row>
    <row r="182" spans="1:15" x14ac:dyDescent="0.25">
      <c r="A182" s="1" t="s">
        <v>42</v>
      </c>
      <c r="B182" s="1" t="s">
        <v>133</v>
      </c>
      <c r="C182" s="1" t="s">
        <v>149</v>
      </c>
      <c r="D182" s="1" t="s">
        <v>158</v>
      </c>
      <c r="E182" s="1" t="s">
        <v>163</v>
      </c>
      <c r="F182" s="1" t="s">
        <v>170</v>
      </c>
      <c r="G182" s="1" t="s">
        <v>177</v>
      </c>
      <c r="H182" s="1" t="s">
        <v>181</v>
      </c>
      <c r="I182" s="1" t="s">
        <v>184</v>
      </c>
      <c r="J182" s="1" t="s">
        <v>188</v>
      </c>
      <c r="K182" s="1" t="s">
        <v>191</v>
      </c>
      <c r="L182" s="1" t="s">
        <v>197</v>
      </c>
      <c r="M182" s="1" t="s">
        <v>197</v>
      </c>
      <c r="N182" s="1" t="b">
        <v>1</v>
      </c>
      <c r="O182" s="1">
        <v>3</v>
      </c>
    </row>
    <row r="183" spans="1:15" x14ac:dyDescent="0.25">
      <c r="A183" s="1" t="s">
        <v>42</v>
      </c>
      <c r="B183" s="1" t="s">
        <v>133</v>
      </c>
      <c r="C183" s="1" t="s">
        <v>149</v>
      </c>
      <c r="D183" s="1" t="s">
        <v>160</v>
      </c>
      <c r="E183" s="1" t="s">
        <v>164</v>
      </c>
      <c r="F183" s="1" t="s">
        <v>168</v>
      </c>
      <c r="G183" s="1" t="s">
        <v>178</v>
      </c>
      <c r="H183" s="1" t="s">
        <v>181</v>
      </c>
      <c r="I183" s="1" t="s">
        <v>182</v>
      </c>
      <c r="J183" s="1" t="s">
        <v>188</v>
      </c>
      <c r="K183" s="1" t="s">
        <v>191</v>
      </c>
      <c r="L183" s="1" t="s">
        <v>204</v>
      </c>
      <c r="M183" s="1" t="s">
        <v>217</v>
      </c>
      <c r="N183" s="1" t="b">
        <v>0</v>
      </c>
      <c r="O183" s="1">
        <v>4</v>
      </c>
    </row>
    <row r="184" spans="1:15" x14ac:dyDescent="0.25">
      <c r="A184" s="1" t="s">
        <v>117</v>
      </c>
      <c r="B184" s="1" t="s">
        <v>132</v>
      </c>
      <c r="C184" s="1" t="s">
        <v>150</v>
      </c>
      <c r="D184" s="1" t="s">
        <v>159</v>
      </c>
      <c r="E184" s="1" t="s">
        <v>161</v>
      </c>
      <c r="F184" s="1" t="s">
        <v>168</v>
      </c>
      <c r="G184" s="1" t="s">
        <v>174</v>
      </c>
      <c r="H184" s="1" t="s">
        <v>180</v>
      </c>
      <c r="I184" s="1" t="s">
        <v>184</v>
      </c>
      <c r="J184" s="1" t="s">
        <v>188</v>
      </c>
      <c r="K184" s="1" t="s">
        <v>191</v>
      </c>
      <c r="L184" s="1" t="s">
        <v>199</v>
      </c>
      <c r="M184" s="1" t="s">
        <v>214</v>
      </c>
      <c r="N184" s="1" t="b">
        <v>0</v>
      </c>
      <c r="O184" s="1">
        <v>1</v>
      </c>
    </row>
    <row r="185" spans="1:15" x14ac:dyDescent="0.25">
      <c r="A185" s="1" t="s">
        <v>96</v>
      </c>
      <c r="B185" s="1" t="s">
        <v>129</v>
      </c>
      <c r="C185" s="1" t="s">
        <v>148</v>
      </c>
      <c r="D185" s="1" t="s">
        <v>157</v>
      </c>
      <c r="E185" s="1" t="s">
        <v>163</v>
      </c>
      <c r="F185" s="1" t="s">
        <v>168</v>
      </c>
      <c r="G185" s="1" t="s">
        <v>178</v>
      </c>
      <c r="H185" s="1" t="s">
        <v>180</v>
      </c>
      <c r="I185" s="1" t="s">
        <v>182</v>
      </c>
      <c r="J185" s="1" t="s">
        <v>188</v>
      </c>
      <c r="K185" s="1" t="s">
        <v>191</v>
      </c>
      <c r="L185" s="1" t="s">
        <v>194</v>
      </c>
      <c r="M185" s="1" t="s">
        <v>194</v>
      </c>
      <c r="N185" s="1" t="b">
        <v>1</v>
      </c>
      <c r="O185" s="1">
        <v>3</v>
      </c>
    </row>
    <row r="186" spans="1:15" x14ac:dyDescent="0.25">
      <c r="A186" s="1" t="s">
        <v>42</v>
      </c>
      <c r="B186" s="1" t="s">
        <v>133</v>
      </c>
      <c r="C186" s="1" t="s">
        <v>149</v>
      </c>
      <c r="D186" s="1" t="s">
        <v>160</v>
      </c>
      <c r="E186" s="1" t="s">
        <v>164</v>
      </c>
      <c r="F186" s="1" t="s">
        <v>167</v>
      </c>
      <c r="G186" s="1" t="s">
        <v>178</v>
      </c>
      <c r="H186" s="1" t="s">
        <v>181</v>
      </c>
      <c r="I186" s="1" t="s">
        <v>182</v>
      </c>
      <c r="J186" s="1" t="s">
        <v>188</v>
      </c>
      <c r="K186" s="1" t="s">
        <v>191</v>
      </c>
      <c r="L186" s="1" t="s">
        <v>211</v>
      </c>
      <c r="M186" s="1" t="s">
        <v>221</v>
      </c>
      <c r="N186" s="1" t="b">
        <v>0</v>
      </c>
      <c r="O186" s="1">
        <v>4</v>
      </c>
    </row>
    <row r="187" spans="1:15" x14ac:dyDescent="0.25">
      <c r="A187" s="1" t="s">
        <v>115</v>
      </c>
      <c r="B187" s="1" t="s">
        <v>129</v>
      </c>
      <c r="C187" s="1" t="s">
        <v>151</v>
      </c>
      <c r="D187" s="1" t="s">
        <v>157</v>
      </c>
      <c r="E187" s="1" t="s">
        <v>161</v>
      </c>
      <c r="F187" s="1" t="s">
        <v>168</v>
      </c>
      <c r="G187" s="1" t="s">
        <v>174</v>
      </c>
      <c r="H187" s="1" t="s">
        <v>181</v>
      </c>
      <c r="I187" s="1" t="s">
        <v>184</v>
      </c>
      <c r="J187" s="1" t="s">
        <v>188</v>
      </c>
      <c r="K187" s="1" t="s">
        <v>191</v>
      </c>
      <c r="L187" s="1" t="s">
        <v>206</v>
      </c>
      <c r="M187" s="1" t="s">
        <v>206</v>
      </c>
      <c r="N187" s="1" t="b">
        <v>1</v>
      </c>
      <c r="O187" s="1">
        <v>1</v>
      </c>
    </row>
    <row r="188" spans="1:15" x14ac:dyDescent="0.25">
      <c r="A188" s="1" t="s">
        <v>39</v>
      </c>
      <c r="B188" s="1" t="s">
        <v>132</v>
      </c>
      <c r="C188" s="1" t="s">
        <v>150</v>
      </c>
      <c r="D188" s="1" t="s">
        <v>159</v>
      </c>
      <c r="E188" s="1" t="s">
        <v>161</v>
      </c>
      <c r="F188" s="1" t="s">
        <v>172</v>
      </c>
      <c r="G188" s="1" t="s">
        <v>174</v>
      </c>
      <c r="H188" s="1" t="s">
        <v>180</v>
      </c>
      <c r="I188" s="1" t="s">
        <v>184</v>
      </c>
      <c r="J188" s="1" t="s">
        <v>188</v>
      </c>
      <c r="K188" s="1" t="s">
        <v>191</v>
      </c>
      <c r="L188" s="1" t="s">
        <v>211</v>
      </c>
      <c r="M188" s="1" t="s">
        <v>221</v>
      </c>
      <c r="N188" s="1" t="b">
        <v>0</v>
      </c>
      <c r="O188" s="1">
        <v>1</v>
      </c>
    </row>
    <row r="189" spans="1:15" x14ac:dyDescent="0.25">
      <c r="A189" s="1" t="s">
        <v>82</v>
      </c>
      <c r="B189" s="1" t="s">
        <v>124</v>
      </c>
      <c r="C189" s="1" t="s">
        <v>150</v>
      </c>
      <c r="D189" s="1" t="s">
        <v>159</v>
      </c>
      <c r="E189" s="1" t="s">
        <v>162</v>
      </c>
      <c r="F189" s="1" t="s">
        <v>172</v>
      </c>
      <c r="G189" s="1" t="s">
        <v>174</v>
      </c>
      <c r="H189" s="1" t="s">
        <v>180</v>
      </c>
      <c r="I189" s="1" t="s">
        <v>182</v>
      </c>
      <c r="J189" s="1" t="s">
        <v>188</v>
      </c>
      <c r="K189" s="1" t="s">
        <v>191</v>
      </c>
      <c r="L189" s="1" t="s">
        <v>199</v>
      </c>
      <c r="M189" s="1" t="s">
        <v>214</v>
      </c>
      <c r="N189" s="1" t="b">
        <v>0</v>
      </c>
      <c r="O189" s="1">
        <v>2</v>
      </c>
    </row>
    <row r="190" spans="1:15" x14ac:dyDescent="0.25">
      <c r="A190" s="1" t="s">
        <v>114</v>
      </c>
      <c r="B190" s="1" t="s">
        <v>131</v>
      </c>
      <c r="C190" s="1" t="s">
        <v>151</v>
      </c>
      <c r="D190" s="1" t="s">
        <v>159</v>
      </c>
      <c r="E190" s="1" t="s">
        <v>161</v>
      </c>
      <c r="F190" s="1" t="s">
        <v>168</v>
      </c>
      <c r="G190" s="1" t="s">
        <v>176</v>
      </c>
      <c r="H190" s="1" t="s">
        <v>181</v>
      </c>
      <c r="I190" s="1" t="s">
        <v>184</v>
      </c>
      <c r="J190" s="1" t="s">
        <v>188</v>
      </c>
      <c r="K190" s="1" t="s">
        <v>191</v>
      </c>
      <c r="L190" s="1" t="s">
        <v>208</v>
      </c>
      <c r="M190" s="1" t="s">
        <v>219</v>
      </c>
      <c r="N190" s="1" t="b">
        <v>0</v>
      </c>
      <c r="O190" s="1">
        <v>1</v>
      </c>
    </row>
    <row r="191" spans="1:15" x14ac:dyDescent="0.25">
      <c r="A191" s="1" t="s">
        <v>118</v>
      </c>
      <c r="B191" s="1" t="s">
        <v>132</v>
      </c>
      <c r="C191" s="1" t="s">
        <v>152</v>
      </c>
      <c r="D191" s="1" t="s">
        <v>157</v>
      </c>
      <c r="E191" s="1" t="s">
        <v>161</v>
      </c>
      <c r="F191" s="1" t="s">
        <v>167</v>
      </c>
      <c r="G191" s="1" t="s">
        <v>174</v>
      </c>
      <c r="H191" s="1" t="s">
        <v>180</v>
      </c>
      <c r="I191" s="1" t="s">
        <v>185</v>
      </c>
      <c r="J191" s="1" t="s">
        <v>188</v>
      </c>
      <c r="K191" s="1" t="s">
        <v>191</v>
      </c>
      <c r="L191" s="1" t="s">
        <v>201</v>
      </c>
      <c r="M191" s="1" t="s">
        <v>201</v>
      </c>
      <c r="N191" s="1" t="b">
        <v>1</v>
      </c>
      <c r="O191" s="1">
        <v>1</v>
      </c>
    </row>
    <row r="192" spans="1:15" x14ac:dyDescent="0.25">
      <c r="A192" s="1" t="s">
        <v>80</v>
      </c>
      <c r="B192" s="1" t="s">
        <v>132</v>
      </c>
      <c r="C192" s="1" t="s">
        <v>150</v>
      </c>
      <c r="D192" s="1" t="s">
        <v>159</v>
      </c>
      <c r="E192" s="1" t="s">
        <v>162</v>
      </c>
      <c r="F192" s="1" t="s">
        <v>167</v>
      </c>
      <c r="G192" s="1" t="s">
        <v>174</v>
      </c>
      <c r="H192" s="1" t="s">
        <v>181</v>
      </c>
      <c r="I192" s="1" t="s">
        <v>184</v>
      </c>
      <c r="J192" s="1" t="s">
        <v>188</v>
      </c>
      <c r="K192" s="1" t="s">
        <v>191</v>
      </c>
      <c r="L192" s="1" t="s">
        <v>208</v>
      </c>
      <c r="M192" s="1" t="s">
        <v>219</v>
      </c>
      <c r="N192" s="1" t="b">
        <v>0</v>
      </c>
      <c r="O192" s="1">
        <v>2</v>
      </c>
    </row>
    <row r="193" spans="1:15" x14ac:dyDescent="0.25">
      <c r="A193" s="1" t="s">
        <v>91</v>
      </c>
      <c r="B193" s="1" t="s">
        <v>123</v>
      </c>
      <c r="C193" s="1" t="s">
        <v>149</v>
      </c>
      <c r="D193" s="1" t="s">
        <v>160</v>
      </c>
      <c r="E193" s="1" t="s">
        <v>164</v>
      </c>
      <c r="F193" s="1" t="s">
        <v>170</v>
      </c>
      <c r="G193" s="1" t="s">
        <v>178</v>
      </c>
      <c r="H193" s="1" t="s">
        <v>181</v>
      </c>
      <c r="I193" s="1" t="s">
        <v>182</v>
      </c>
      <c r="J193" s="1" t="s">
        <v>188</v>
      </c>
      <c r="K193" s="1" t="s">
        <v>191</v>
      </c>
      <c r="L193" s="1" t="s">
        <v>199</v>
      </c>
      <c r="M193" s="1" t="s">
        <v>214</v>
      </c>
      <c r="N193" s="1" t="b">
        <v>0</v>
      </c>
      <c r="O193" s="1">
        <v>4</v>
      </c>
    </row>
    <row r="194" spans="1:15" x14ac:dyDescent="0.25">
      <c r="A194" s="1" t="s">
        <v>119</v>
      </c>
      <c r="B194" s="1" t="s">
        <v>127</v>
      </c>
      <c r="C194" s="1" t="s">
        <v>149</v>
      </c>
      <c r="D194" s="1" t="s">
        <v>159</v>
      </c>
      <c r="E194" s="1" t="s">
        <v>162</v>
      </c>
      <c r="F194" s="1" t="s">
        <v>167</v>
      </c>
      <c r="G194" s="1" t="s">
        <v>175</v>
      </c>
      <c r="H194" s="1" t="s">
        <v>181</v>
      </c>
      <c r="I194" s="1" t="s">
        <v>183</v>
      </c>
      <c r="J194" s="1" t="s">
        <v>188</v>
      </c>
      <c r="K194" s="1" t="s">
        <v>191</v>
      </c>
      <c r="L194" s="1" t="s">
        <v>203</v>
      </c>
      <c r="M194" s="1" t="s">
        <v>216</v>
      </c>
      <c r="N194" s="1" t="b">
        <v>0</v>
      </c>
      <c r="O194" s="1">
        <v>2</v>
      </c>
    </row>
    <row r="195" spans="1:15" x14ac:dyDescent="0.25">
      <c r="A195" s="1" t="s">
        <v>51</v>
      </c>
      <c r="B195" s="1" t="s">
        <v>132</v>
      </c>
      <c r="C195" s="1" t="s">
        <v>148</v>
      </c>
      <c r="D195" s="1" t="s">
        <v>159</v>
      </c>
      <c r="E195" s="1" t="s">
        <v>163</v>
      </c>
      <c r="F195" s="1" t="s">
        <v>167</v>
      </c>
      <c r="G195" s="1" t="s">
        <v>178</v>
      </c>
      <c r="H195" s="1" t="s">
        <v>180</v>
      </c>
      <c r="I195" s="1" t="s">
        <v>183</v>
      </c>
      <c r="J195" s="1" t="s">
        <v>188</v>
      </c>
      <c r="K195" s="1" t="s">
        <v>191</v>
      </c>
      <c r="L195" s="1" t="s">
        <v>203</v>
      </c>
      <c r="M195" s="1" t="s">
        <v>216</v>
      </c>
      <c r="N195" s="1" t="b">
        <v>0</v>
      </c>
      <c r="O195" s="1">
        <v>3</v>
      </c>
    </row>
    <row r="196" spans="1:15" x14ac:dyDescent="0.25">
      <c r="A196" s="1" t="s">
        <v>25</v>
      </c>
      <c r="B196" s="1" t="s">
        <v>126</v>
      </c>
      <c r="C196" s="1" t="s">
        <v>151</v>
      </c>
      <c r="D196" s="1" t="s">
        <v>159</v>
      </c>
      <c r="E196" s="1" t="s">
        <v>161</v>
      </c>
      <c r="F196" s="1" t="s">
        <v>170</v>
      </c>
      <c r="G196" s="1" t="s">
        <v>176</v>
      </c>
      <c r="H196" s="1" t="s">
        <v>181</v>
      </c>
      <c r="I196" s="1" t="s">
        <v>186</v>
      </c>
      <c r="J196" s="1" t="s">
        <v>188</v>
      </c>
      <c r="K196" s="1" t="s">
        <v>191</v>
      </c>
      <c r="L196" s="1" t="s">
        <v>200</v>
      </c>
      <c r="M196" s="1" t="s">
        <v>215</v>
      </c>
      <c r="N196" s="1" t="b">
        <v>0</v>
      </c>
      <c r="O196" s="1">
        <v>1</v>
      </c>
    </row>
    <row r="197" spans="1:15" x14ac:dyDescent="0.25">
      <c r="A197" s="1" t="s">
        <v>71</v>
      </c>
      <c r="B197" s="1" t="s">
        <v>133</v>
      </c>
      <c r="C197" s="1" t="s">
        <v>149</v>
      </c>
      <c r="D197" s="1" t="s">
        <v>160</v>
      </c>
      <c r="E197" s="1" t="s">
        <v>165</v>
      </c>
      <c r="F197" s="1" t="s">
        <v>170</v>
      </c>
      <c r="G197" s="1" t="s">
        <v>178</v>
      </c>
      <c r="H197" s="1" t="s">
        <v>181</v>
      </c>
      <c r="I197" s="1" t="s">
        <v>182</v>
      </c>
      <c r="J197" s="1" t="s">
        <v>188</v>
      </c>
      <c r="K197" s="1" t="s">
        <v>191</v>
      </c>
      <c r="L197" s="1" t="s">
        <v>211</v>
      </c>
      <c r="M197" s="1" t="s">
        <v>221</v>
      </c>
      <c r="N197" s="1" t="b">
        <v>0</v>
      </c>
      <c r="O197" s="1">
        <v>5</v>
      </c>
    </row>
    <row r="198" spans="1:15" x14ac:dyDescent="0.25">
      <c r="A198" s="1" t="s">
        <v>120</v>
      </c>
      <c r="B198" s="1" t="s">
        <v>128</v>
      </c>
      <c r="C198" s="1" t="s">
        <v>148</v>
      </c>
      <c r="D198" s="1" t="s">
        <v>159</v>
      </c>
      <c r="E198" s="1" t="s">
        <v>164</v>
      </c>
      <c r="F198" s="1" t="s">
        <v>168</v>
      </c>
      <c r="G198" s="1" t="s">
        <v>178</v>
      </c>
      <c r="H198" s="1" t="s">
        <v>180</v>
      </c>
      <c r="I198" s="1" t="s">
        <v>182</v>
      </c>
      <c r="J198" s="1" t="s">
        <v>188</v>
      </c>
      <c r="K198" s="1" t="s">
        <v>191</v>
      </c>
      <c r="L198" s="1" t="s">
        <v>204</v>
      </c>
      <c r="M198" s="1" t="s">
        <v>217</v>
      </c>
      <c r="N198" s="1" t="b">
        <v>0</v>
      </c>
      <c r="O198" s="1">
        <v>4</v>
      </c>
    </row>
    <row r="199" spans="1:15" x14ac:dyDescent="0.25">
      <c r="A199" s="1" t="s">
        <v>121</v>
      </c>
      <c r="B199" s="1" t="s">
        <v>132</v>
      </c>
      <c r="C199" s="1" t="s">
        <v>150</v>
      </c>
      <c r="D199" s="1" t="s">
        <v>159</v>
      </c>
      <c r="E199" s="1" t="s">
        <v>162</v>
      </c>
      <c r="F199" s="1" t="s">
        <v>169</v>
      </c>
      <c r="G199" s="1" t="s">
        <v>174</v>
      </c>
      <c r="H199" s="1" t="s">
        <v>180</v>
      </c>
      <c r="I199" s="1" t="s">
        <v>185</v>
      </c>
      <c r="J199" s="1" t="s">
        <v>188</v>
      </c>
      <c r="K199" s="1" t="s">
        <v>191</v>
      </c>
      <c r="L199" s="1" t="s">
        <v>195</v>
      </c>
      <c r="M199" s="1" t="s">
        <v>212</v>
      </c>
      <c r="N199" s="1" t="b">
        <v>0</v>
      </c>
      <c r="O199" s="1">
        <v>2</v>
      </c>
    </row>
    <row r="200" spans="1:15" x14ac:dyDescent="0.25">
      <c r="A200" s="1" t="s">
        <v>91</v>
      </c>
      <c r="B200" s="1" t="s">
        <v>123</v>
      </c>
      <c r="C200" s="1" t="s">
        <v>149</v>
      </c>
      <c r="D200" s="1" t="s">
        <v>158</v>
      </c>
      <c r="E200" s="1" t="s">
        <v>162</v>
      </c>
      <c r="F200" s="1" t="s">
        <v>170</v>
      </c>
      <c r="G200" s="1" t="s">
        <v>175</v>
      </c>
      <c r="H200" s="1" t="s">
        <v>181</v>
      </c>
      <c r="I200" s="1" t="s">
        <v>182</v>
      </c>
      <c r="J200" s="1" t="s">
        <v>188</v>
      </c>
      <c r="K200" s="1" t="s">
        <v>191</v>
      </c>
      <c r="L200" s="1" t="s">
        <v>198</v>
      </c>
      <c r="M200" s="1" t="s">
        <v>198</v>
      </c>
      <c r="N200" s="1" t="b">
        <v>1</v>
      </c>
      <c r="O200" s="1">
        <v>2</v>
      </c>
    </row>
    <row r="201" spans="1:15" x14ac:dyDescent="0.25">
      <c r="A201" s="1" t="s">
        <v>31</v>
      </c>
      <c r="B201" s="1" t="s">
        <v>133</v>
      </c>
      <c r="C201" s="1" t="s">
        <v>149</v>
      </c>
      <c r="D201" s="1" t="s">
        <v>159</v>
      </c>
      <c r="E201" s="1" t="s">
        <v>162</v>
      </c>
      <c r="F201" s="1" t="s">
        <v>170</v>
      </c>
      <c r="G201" s="1" t="s">
        <v>175</v>
      </c>
      <c r="H201" s="1" t="s">
        <v>181</v>
      </c>
      <c r="I201" s="1" t="s">
        <v>183</v>
      </c>
      <c r="J201" s="1" t="s">
        <v>188</v>
      </c>
      <c r="K201" s="1" t="s">
        <v>191</v>
      </c>
      <c r="L201" s="1" t="s">
        <v>208</v>
      </c>
      <c r="M201" s="1" t="s">
        <v>219</v>
      </c>
      <c r="N201" s="1" t="b">
        <v>0</v>
      </c>
      <c r="O201" s="1">
        <v>2</v>
      </c>
    </row>
  </sheetData>
  <autoFilter ref="A1:O201" xr:uid="{45E3FC72-A7FD-43FE-8AEC-013678905FC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DEPARTMENTWISE WORK HOURS</vt:lpstr>
      <vt:lpstr>DASHBOARD</vt:lpstr>
      <vt:lpstr>CATEGORYWISE SALARY COUNT</vt:lpstr>
      <vt:lpstr>TOP AGE DEPARTMENT</vt:lpstr>
      <vt:lpstr>CATEGORYWISE SALARY RANK</vt:lpstr>
      <vt:lpstr>Dataset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PRAJWAL RATNAPARKHI</dc:creator>
  <cp:lastModifiedBy>PRAJWAL RATNAPARKHI</cp:lastModifiedBy>
  <dcterms:created xsi:type="dcterms:W3CDTF">2025-08-09T09:50:51Z</dcterms:created>
  <dcterms:modified xsi:type="dcterms:W3CDTF">2025-09-17T10:01:55Z</dcterms:modified>
</cp:coreProperties>
</file>